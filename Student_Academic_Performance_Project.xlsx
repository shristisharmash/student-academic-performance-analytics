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aw Data" sheetId="2" state="visible" r:id="rId4"/>
    <sheet name="Cleaning Log" sheetId="3" state="visible" r:id="rId5"/>
    <sheet name="Cleaned Data" sheetId="4" state="visible" r:id="rId6"/>
    <sheet name="Analysis" sheetId="5" state="visible" r:id="rId7"/>
    <sheet name="Dashboard" sheetId="6" state="visible" r:id="rId8"/>
    <sheet name="Assumptions" sheetId="7" state="visible" r:id="rId9"/>
  </sheets>
  <definedNames>
    <definedName function="false" hidden="true" localSheetId="3" name="_xlnm._FilterDatabase" vbProcedure="false">'Cleaned Data'!$A$1:$W$66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1" authorId="0">
      <text>
        <r>
          <rPr>
            <sz val="10"/>
            <rFont val="Arial"/>
            <family val="2"/>
          </rPr>
          <t xml:space="preserve">Average of consistency, motivation, time management and focus ratings.</t>
        </r>
      </text>
    </comment>
  </commentList>
</comments>
</file>

<file path=xl/sharedStrings.xml><?xml version="1.0" encoding="utf-8"?>
<sst xmlns="http://schemas.openxmlformats.org/spreadsheetml/2006/main" count="1111" uniqueCount="360">
  <si>
    <t xml:space="preserve">Student Academic Performance Analytics</t>
  </si>
  <si>
    <t xml:space="preserve">Excel-Based Business Analytics Project</t>
  </si>
  <si>
    <t xml:space="preserve">Self project by Shristi Sharma</t>
  </si>
  <si>
    <t xml:space="preserve">Project Objective</t>
  </si>
  <si>
    <t xml:space="preserve">Analyze student academic performance, attendance, study habits, motivation, and related factors to identify patterns and generate actionable insights using Excel-based Business Analytics.</t>
  </si>
  <si>
    <t xml:space="preserve">Project Workflow</t>
  </si>
  <si>
    <t xml:space="preserve">Data Collection</t>
  </si>
  <si>
    <t xml:space="preserve">→</t>
  </si>
  <si>
    <t xml:space="preserve">Data Cleaning</t>
  </si>
  <si>
    <t xml:space="preserve">Exploratory Analysis</t>
  </si>
  <si>
    <t xml:space="preserve">Visualization</t>
  </si>
  <si>
    <t xml:space="preserve">Insights</t>
  </si>
  <si>
    <t xml:space="preserve">Recommendations</t>
  </si>
  <si>
    <t xml:space="preserve">Tools Used</t>
  </si>
  <si>
    <t xml:space="preserve">Tool</t>
  </si>
  <si>
    <t xml:space="preserve">Purpose</t>
  </si>
  <si>
    <t xml:space="preserve">Microsoft Excel</t>
  </si>
  <si>
    <t xml:space="preserve">Data cleaning, analysis &amp; visualization</t>
  </si>
  <si>
    <t xml:space="preserve">Pivot Tables</t>
  </si>
  <si>
    <t xml:space="preserve">Group-wise analysis</t>
  </si>
  <si>
    <t xml:space="preserve">Charts &amp; Dashboard</t>
  </si>
  <si>
    <t xml:space="preserve">Visual storytelling</t>
  </si>
  <si>
    <t xml:space="preserve">Statistical Analysis</t>
  </si>
  <si>
    <t xml:space="preserve">Performance &amp; relationship analysis</t>
  </si>
  <si>
    <t xml:space="preserve">Key Areas Analyzed</t>
  </si>
  <si>
    <t xml:space="preserve">📊
Academic Performance</t>
  </si>
  <si>
    <t xml:space="preserve">📅
Attendance</t>
  </si>
  <si>
    <t xml:space="preserve">📚
Study Habits</t>
  </si>
  <si>
    <t xml:space="preserve">🎯
Student Motivation</t>
  </si>
  <si>
    <t xml:space="preserve">🏫
Institution &amp; Field</t>
  </si>
  <si>
    <t xml:space="preserve">Dataset Overview</t>
  </si>
  <si>
    <t xml:space="preserve">The dataset contains student-level academic and behavioral information, including examination performance, attendance, study habits, motivation, academic confidence, field of study, year of study, and institution.</t>
  </si>
  <si>
    <t xml:space="preserve">Collected through a short Google Form: 65 responses, 8 self-rating questions on a 1-6 scale. Small sample, reached directly and self-reported, so findings describe this group only.</t>
  </si>
  <si>
    <t xml:space="preserve">Sheets in this Workbook</t>
  </si>
  <si>
    <t xml:space="preserve">2.  Raw Data</t>
  </si>
  <si>
    <t xml:space="preserve">Original survey export, untouched.</t>
  </si>
  <si>
    <t xml:space="preserve">3.  Cleaning Log</t>
  </si>
  <si>
    <t xml:space="preserve">Every fix made and how many rows it touched.</t>
  </si>
  <si>
    <t xml:space="preserve">4.  Cleaned Data</t>
  </si>
  <si>
    <t xml:space="preserve">Survey data after cleaning, with calculated columns and a cleaning note per row.</t>
  </si>
  <si>
    <t xml:space="preserve">5.  Analysis</t>
  </si>
  <si>
    <t xml:space="preserve">All tables, statistics, key questions and recommendations, built with formulas.</t>
  </si>
  <si>
    <t xml:space="preserve">6.  Dashboard</t>
  </si>
  <si>
    <t xml:space="preserve">One-page summary: KPIs, five charts and three insight cards.</t>
  </si>
  <si>
    <t xml:space="preserve">7.  Assumptions</t>
  </si>
  <si>
    <t xml:space="preserve">Conversion rules and cut-offs. Change a blue cell and everything updates.</t>
  </si>
  <si>
    <t xml:space="preserve">Flow: Raw Data  →  Cleaned Data  →  Analysis  →  Dashboard</t>
  </si>
  <si>
    <t xml:space="preserve">Timestamp</t>
  </si>
  <si>
    <t xml:space="preserve">1. What type of institution do you study in?  </t>
  </si>
  <si>
    <t xml:space="preserve">2. What is your field of study? </t>
  </si>
  <si>
    <t xml:space="preserve">  3. What year of study are you currently in?  </t>
  </si>
  <si>
    <t xml:space="preserve">4. Which city do you currently study in?  </t>
  </si>
  <si>
    <t xml:space="preserve">5. What was your percentage in your most recent semester/examination?  </t>
  </si>
  <si>
    <t xml:space="preserve">  Approximately what is your average class attendance?  </t>
  </si>
  <si>
    <t xml:space="preserve">  1. How satisfied are you with your overall academic performance?  </t>
  </si>
  <si>
    <t xml:space="preserve">2. How confident are you in your ability to perform well academically?  </t>
  </si>
  <si>
    <t xml:space="preserve">3. How consistent are you with your study routine?</t>
  </si>
  <si>
    <t xml:space="preserve">4. How well do you understand the subjects you are currently studying?  </t>
  </si>
  <si>
    <t xml:space="preserve">  5. How motivated are you to study regularly?  </t>
  </si>
  <si>
    <t xml:space="preserve">6. How effectively do you manage your study time?
</t>
  </si>
  <si>
    <t xml:space="preserve">  7. How focused are you while studying?</t>
  </si>
  <si>
    <t xml:space="preserve">8. How much do you feel your attendance contributes to your academic performance? </t>
  </si>
  <si>
    <t xml:space="preserve">Private</t>
  </si>
  <si>
    <t xml:space="preserve">Business/Management</t>
  </si>
  <si>
    <t xml:space="preserve">2nd year</t>
  </si>
  <si>
    <t xml:space="preserve">Mehsana </t>
  </si>
  <si>
    <t xml:space="preserve">8.96 cgpa</t>
  </si>
  <si>
    <t xml:space="preserve">51-60%</t>
  </si>
  <si>
    <t xml:space="preserve">Computer Science/IT</t>
  </si>
  <si>
    <t xml:space="preserve">Greater Noida </t>
  </si>
  <si>
    <t xml:space="preserve">below 50%</t>
  </si>
  <si>
    <t xml:space="preserve">Commerce</t>
  </si>
  <si>
    <t xml:space="preserve">61-70%</t>
  </si>
  <si>
    <t xml:space="preserve">Engineering</t>
  </si>
  <si>
    <t xml:space="preserve">71-80%</t>
  </si>
  <si>
    <t xml:space="preserve">Physical education </t>
  </si>
  <si>
    <t xml:space="preserve">1st year</t>
  </si>
  <si>
    <t xml:space="preserve">Punjab</t>
  </si>
  <si>
    <t xml:space="preserve">Nil</t>
  </si>
  <si>
    <t xml:space="preserve">91-100%</t>
  </si>
  <si>
    <t xml:space="preserve">Government</t>
  </si>
  <si>
    <t xml:space="preserve">Kolkata </t>
  </si>
  <si>
    <t xml:space="preserve">No examination yet</t>
  </si>
  <si>
    <t xml:space="preserve">Biotechnology </t>
  </si>
  <si>
    <t xml:space="preserve">81-90%</t>
  </si>
  <si>
    <t xml:space="preserve">Durgapur </t>
  </si>
  <si>
    <t xml:space="preserve">6.5 cgpa</t>
  </si>
  <si>
    <t xml:space="preserve">Arts/Humanities</t>
  </si>
  <si>
    <t xml:space="preserve">6.80 sgpa</t>
  </si>
  <si>
    <t xml:space="preserve">1st</t>
  </si>
  <si>
    <t xml:space="preserve">Murshidabad</t>
  </si>
  <si>
    <t xml:space="preserve">Mehsana (Gujarat)</t>
  </si>
  <si>
    <t xml:space="preserve">3rd year</t>
  </si>
  <si>
    <t xml:space="preserve">Ghaziabad </t>
  </si>
  <si>
    <t xml:space="preserve">Mohali</t>
  </si>
  <si>
    <t xml:space="preserve">Government-aided</t>
  </si>
  <si>
    <t xml:space="preserve">Medicine/Healthcare</t>
  </si>
  <si>
    <t xml:space="preserve">4th year</t>
  </si>
  <si>
    <t xml:space="preserve">Delhi</t>
  </si>
  <si>
    <t xml:space="preserve">9.7 cgpa</t>
  </si>
  <si>
    <t xml:space="preserve">Prayagraj </t>
  </si>
  <si>
    <t xml:space="preserve">8.01 cgpa</t>
  </si>
  <si>
    <t xml:space="preserve">Burdwan </t>
  </si>
  <si>
    <t xml:space="preserve">2 cgpa</t>
  </si>
  <si>
    <t xml:space="preserve">Hyderabad</t>
  </si>
  <si>
    <t xml:space="preserve">6.7 cgpa</t>
  </si>
  <si>
    <t xml:space="preserve">Kolkata</t>
  </si>
  <si>
    <t xml:space="preserve">6.3 cgpa</t>
  </si>
  <si>
    <t xml:space="preserve">Chattisgarh </t>
  </si>
  <si>
    <t xml:space="preserve">West Bengal </t>
  </si>
  <si>
    <t xml:space="preserve">BA LLB </t>
  </si>
  <si>
    <t xml:space="preserve">ahmedabad</t>
  </si>
  <si>
    <t xml:space="preserve">8.09 cgpa</t>
  </si>
  <si>
    <t xml:space="preserve">7.8 cgpa</t>
  </si>
  <si>
    <t xml:space="preserve">Greater Noida</t>
  </si>
  <si>
    <t xml:space="preserve">Non Profit organizations </t>
  </si>
  <si>
    <t xml:space="preserve">Asansol</t>
  </si>
  <si>
    <t xml:space="preserve">BBA LLB</t>
  </si>
  <si>
    <t xml:space="preserve">Chandigarh</t>
  </si>
  <si>
    <t xml:space="preserve">9.3 sgpa</t>
  </si>
  <si>
    <t xml:space="preserve">Amritsar</t>
  </si>
  <si>
    <t xml:space="preserve">7.8cgpa</t>
  </si>
  <si>
    <t xml:space="preserve">Durgapur</t>
  </si>
  <si>
    <t xml:space="preserve">BA psychology </t>
  </si>
  <si>
    <t xml:space="preserve">9.5cgpa</t>
  </si>
  <si>
    <t xml:space="preserve">Bardhaman </t>
  </si>
  <si>
    <t xml:space="preserve">8.4cgpa</t>
  </si>
  <si>
    <t xml:space="preserve">7.09cgpa</t>
  </si>
  <si>
    <t xml:space="preserve">BA ECONOMICS </t>
  </si>
  <si>
    <t xml:space="preserve">7.6cgpa</t>
  </si>
  <si>
    <t xml:space="preserve">Karnataka </t>
  </si>
  <si>
    <t xml:space="preserve">7.3cgpa</t>
  </si>
  <si>
    <t xml:space="preserve">Bengaluru</t>
  </si>
  <si>
    <t xml:space="preserve">Aligarh</t>
  </si>
  <si>
    <t xml:space="preserve">Ranchi</t>
  </si>
  <si>
    <t xml:space="preserve">Patna</t>
  </si>
  <si>
    <t xml:space="preserve">BCOM LLB</t>
  </si>
  <si>
    <t xml:space="preserve">Telegana</t>
  </si>
  <si>
    <t xml:space="preserve">Ahmedabad</t>
  </si>
  <si>
    <t xml:space="preserve">Pune</t>
  </si>
  <si>
    <t xml:space="preserve">5.36cgpa</t>
  </si>
  <si>
    <t xml:space="preserve">Chennai</t>
  </si>
  <si>
    <t xml:space="preserve">9.67cgpa</t>
  </si>
  <si>
    <t xml:space="preserve">Mumbai</t>
  </si>
  <si>
    <t xml:space="preserve">6.91cgpa</t>
  </si>
  <si>
    <t xml:space="preserve">Delhi NCR</t>
  </si>
  <si>
    <t xml:space="preserve">Sikkim</t>
  </si>
  <si>
    <t xml:space="preserve">Tamluk</t>
  </si>
  <si>
    <t xml:space="preserve">Haldia</t>
  </si>
  <si>
    <t xml:space="preserve">6.87cgpa</t>
  </si>
  <si>
    <t xml:space="preserve">Kharagpur </t>
  </si>
  <si>
    <t xml:space="preserve">Banaras </t>
  </si>
  <si>
    <t xml:space="preserve">Bsc chemistry </t>
  </si>
  <si>
    <t xml:space="preserve">Jaipur</t>
  </si>
  <si>
    <t xml:space="preserve">7.63cgpa</t>
  </si>
  <si>
    <t xml:space="preserve">Madhupur</t>
  </si>
  <si>
    <t xml:space="preserve">Jamshedpur</t>
  </si>
  <si>
    <t xml:space="preserve">Ghaziabad</t>
  </si>
  <si>
    <t xml:space="preserve">What I changed in the raw data, and why</t>
  </si>
  <si>
    <t xml:space="preserve">#</t>
  </si>
  <si>
    <t xml:space="preserve">What was wrong</t>
  </si>
  <si>
    <t xml:space="preserve">What I did</t>
  </si>
  <si>
    <t xml:space="preserve">Rows affected</t>
  </si>
  <si>
    <t xml:space="preserve">Marks typed as CGPA / SGPA text (e.g. "8.96 cgpa")</t>
  </si>
  <si>
    <t xml:space="preserve">Pulled out the number and converted to a percentage using the multiplier in Assumptions.</t>
  </si>
  <si>
    <t xml:space="preserve">Marks entered as a decimal (0.78 instead of 78%)</t>
  </si>
  <si>
    <t xml:space="preserve">Multiplied by 100 so it reads as a percentage.</t>
  </si>
  <si>
    <t xml:space="preserve">No marks given ("Nil", "No examination yet")</t>
  </si>
  <si>
    <t xml:space="preserve">Kept the student in the survey but left them out of score calculations.</t>
  </si>
  <si>
    <t xml:space="preserve">One score looked like a typing mistake (2 CGPA, about 19%)</t>
  </si>
  <si>
    <t xml:space="preserve">Flagged it and left it out of score analysis. Their other answers still count.</t>
  </si>
  <si>
    <t xml:space="preserve">Year typed as "1st" instead of "1st year"</t>
  </si>
  <si>
    <t xml:space="preserve">Made it match the other labels.</t>
  </si>
  <si>
    <t xml:space="preserve">City names with extra spaces, small letters or spelling slips (e.g. ahmedabad, Mehsana (Gujarat), Telegana)</t>
  </si>
  <si>
    <t xml:space="preserve">Trimmed spaces and corrected spelling so the same city is not counted twice.</t>
  </si>
  <si>
    <t xml:space="preserve">Fields of study typed freely (BA LLB, Bsc chemistry, BA ECONOMICS...)</t>
  </si>
  <si>
    <t xml:space="preserve">Grouped into broader fields. Very small ones share a "Law/Science/Other" group.</t>
  </si>
  <si>
    <t xml:space="preserve">One response from a non-profit institution</t>
  </si>
  <si>
    <t xml:space="preserve">Labelled "Other (Non-profit)". Only 1 student, so I do not compare it with the others.</t>
  </si>
  <si>
    <t xml:space="preserve">One student skipped the Confidence question</t>
  </si>
  <si>
    <t xml:space="preserve">Left blank. Averages ignore blanks.</t>
  </si>
  <si>
    <t xml:space="preserve">Duplicate responses</t>
  </si>
  <si>
    <t xml:space="preserve">Checked every column (except timestamp). None found, so no rows were removed.</t>
  </si>
  <si>
    <t xml:space="preserve">Duplicates count was checked in Python when I built the file; all other counts above are live formulas on the Cleaned Data sheet.</t>
  </si>
  <si>
    <t xml:space="preserve">The Raw Data sheet is untouched. Only header styling was added so it is readable.</t>
  </si>
  <si>
    <t xml:space="preserve">ID</t>
  </si>
  <si>
    <t xml:space="preserve">Institution Type</t>
  </si>
  <si>
    <t xml:space="preserve">Field Group</t>
  </si>
  <si>
    <t xml:space="preserve">Study Year</t>
  </si>
  <si>
    <t xml:space="preserve">City</t>
  </si>
  <si>
    <t xml:space="preserve">Score Type</t>
  </si>
  <si>
    <t xml:space="preserve">Score Reported</t>
  </si>
  <si>
    <t xml:space="preserve">Score (%)</t>
  </si>
  <si>
    <t xml:space="preserve">Valid Score?</t>
  </si>
  <si>
    <t xml:space="preserve">Score Used (%)</t>
  </si>
  <si>
    <t xml:space="preserve">Attendance Band</t>
  </si>
  <si>
    <t xml:space="preserve">Attendance Midpoint (%)</t>
  </si>
  <si>
    <t xml:space="preserve">Satisfaction</t>
  </si>
  <si>
    <t xml:space="preserve">Confidence</t>
  </si>
  <si>
    <t xml:space="preserve">Consistency</t>
  </si>
  <si>
    <t xml:space="preserve">Understanding</t>
  </si>
  <si>
    <t xml:space="preserve">Motivation</t>
  </si>
  <si>
    <t xml:space="preserve">Time Management</t>
  </si>
  <si>
    <t xml:space="preserve">Focus</t>
  </si>
  <si>
    <t xml:space="preserve">Attendance Impact (perceived)</t>
  </si>
  <si>
    <t xml:space="preserve">Study Habit Index (1-6)</t>
  </si>
  <si>
    <t xml:space="preserve">Habit Group</t>
  </si>
  <si>
    <t xml:space="preserve">Cleaning Note</t>
  </si>
  <si>
    <t xml:space="preserve">Mehsana</t>
  </si>
  <si>
    <t xml:space="preserve">CGPA</t>
  </si>
  <si>
    <t xml:space="preserve">city fixed; GPA to %</t>
  </si>
  <si>
    <t xml:space="preserve">Percentage</t>
  </si>
  <si>
    <t xml:space="preserve">city fixed; decimal to %</t>
  </si>
  <si>
    <t xml:space="preserve">Law/Science/Other</t>
  </si>
  <si>
    <t xml:space="preserve">Not available</t>
  </si>
  <si>
    <t xml:space="preserve">field regrouped; no score</t>
  </si>
  <si>
    <t xml:space="preserve">city fixed; no score</t>
  </si>
  <si>
    <t xml:space="preserve">field regrouped; city fixed; decimal to %</t>
  </si>
  <si>
    <t xml:space="preserve">SGPA</t>
  </si>
  <si>
    <t xml:space="preserve">year label fixed; decimal to %</t>
  </si>
  <si>
    <t xml:space="preserve">decimal to %</t>
  </si>
  <si>
    <t xml:space="preserve">GPA to %</t>
  </si>
  <si>
    <t xml:space="preserve">Prayagraj</t>
  </si>
  <si>
    <t xml:space="preserve">Burdwan</t>
  </si>
  <si>
    <t xml:space="preserve">city fixed; GPA to %; implausible score</t>
  </si>
  <si>
    <t xml:space="preserve">Chhattisgarh</t>
  </si>
  <si>
    <t xml:space="preserve">West Bengal</t>
  </si>
  <si>
    <t xml:space="preserve">field regrouped; city fixed; GPA to %</t>
  </si>
  <si>
    <t xml:space="preserve">Other (Non-profit)</t>
  </si>
  <si>
    <t xml:space="preserve">institution regrouped; decimal to %</t>
  </si>
  <si>
    <t xml:space="preserve">field regrouped; GPA to %</t>
  </si>
  <si>
    <t xml:space="preserve">decimal to %; confidence blank</t>
  </si>
  <si>
    <t xml:space="preserve">Bardhaman</t>
  </si>
  <si>
    <t xml:space="preserve">Karnataka</t>
  </si>
  <si>
    <t xml:space="preserve">Telangana</t>
  </si>
  <si>
    <t xml:space="preserve">Kharagpur</t>
  </si>
  <si>
    <t xml:space="preserve">Banaras</t>
  </si>
  <si>
    <t xml:space="preserve">Analysis (every number here is a formula pointing to Cleaned Data)</t>
  </si>
  <si>
    <t xml:space="preserve">1. Sample at a glance</t>
  </si>
  <si>
    <t xml:space="preserve">Chart helper: valid scores only (feeds the Dashboard scatter plot)</t>
  </si>
  <si>
    <t xml:space="preserve">Measure</t>
  </si>
  <si>
    <t xml:space="preserve">Value</t>
  </si>
  <si>
    <t xml:space="preserve">Row in Cleaned Data range</t>
  </si>
  <si>
    <t xml:space="preserve">Valid score running count</t>
  </si>
  <si>
    <t xml:space="preserve">Survey responses</t>
  </si>
  <si>
    <t xml:space="preserve">Responses with a usable score</t>
  </si>
  <si>
    <t xml:space="preserve">Different cities mentioned</t>
  </si>
  <si>
    <t xml:space="preserve">Average score (%)</t>
  </si>
  <si>
    <t xml:space="preserve">Median score (%)</t>
  </si>
  <si>
    <t xml:space="preserve">Standard deviation (%)</t>
  </si>
  <si>
    <t xml:space="preserve">Lowest score (%)</t>
  </si>
  <si>
    <t xml:space="preserve">Highest score (%)</t>
  </si>
  <si>
    <t xml:space="preserve">Middle 50% of students scored between (Q1, %)</t>
  </si>
  <si>
    <t xml:space="preserve">... and (Q3, %)</t>
  </si>
  <si>
    <t xml:space="preserve">Students scoring 75% or more</t>
  </si>
  <si>
    <t xml:space="preserve">Average Study Habit Index (1-6)</t>
  </si>
  <si>
    <t xml:space="preserve">2. How students rated themselves</t>
  </si>
  <si>
    <t xml:space="preserve">Survey statement</t>
  </si>
  <si>
    <t xml:space="preserve">Average (of 6)</t>
  </si>
  <si>
    <t xml:space="preserve">Median</t>
  </si>
  <si>
    <t xml:space="preserve">Std dev</t>
  </si>
  <si>
    <t xml:space="preserve">% rating 5-6</t>
  </si>
  <si>
    <t xml:space="preserve">% rating 1-2</t>
  </si>
  <si>
    <t xml:space="preserve">Understanding of subjects</t>
  </si>
  <si>
    <t xml:space="preserve">Focus while studying</t>
  </si>
  <si>
    <t xml:space="preserve">Time management</t>
  </si>
  <si>
    <t xml:space="preserve">Belief attendance helps marks</t>
  </si>
  <si>
    <t xml:space="preserve">Confidence to perform</t>
  </si>
  <si>
    <t xml:space="preserve">Motivation to study</t>
  </si>
  <si>
    <t xml:space="preserve">Satisfaction with performance</t>
  </si>
  <si>
    <t xml:space="preserve">Consistency of study routine</t>
  </si>
  <si>
    <t xml:space="preserve">3. By institution type</t>
  </si>
  <si>
    <t xml:space="preserve">Institution type</t>
  </si>
  <si>
    <t xml:space="preserve">Students</t>
  </si>
  <si>
    <t xml:space="preserve">With score</t>
  </si>
  <si>
    <t xml:space="preserve">Avg score (%)</t>
  </si>
  <si>
    <t xml:space="preserve">Avg habit index</t>
  </si>
  <si>
    <t xml:space="preserve">Avg satisfaction</t>
  </si>
  <si>
    <t xml:space="preserve">Only 1 student in the non-profit group, so I do not compare it with the others.</t>
  </si>
  <si>
    <t xml:space="preserve">4. By field of study</t>
  </si>
  <si>
    <t xml:space="preserve">Field of study</t>
  </si>
  <si>
    <t xml:space="preserve">5. By year of study</t>
  </si>
  <si>
    <t xml:space="preserve">Study year</t>
  </si>
  <si>
    <t xml:space="preserve">6. By class attendance</t>
  </si>
  <si>
    <t xml:space="preserve">Attendance band</t>
  </si>
  <si>
    <t xml:space="preserve">Belief attendance helps (of 6)</t>
  </si>
  <si>
    <t xml:space="preserve">Rows listed = students with a valid score today (62). Extend this block if the score cut-off in Assumptions changes.</t>
  </si>
  <si>
    <t xml:space="preserve">7. By study habit group (Low / Medium / High)</t>
  </si>
  <si>
    <t xml:space="preserve">Study habit group</t>
  </si>
  <si>
    <t xml:space="preserve">Avg confidence</t>
  </si>
  <si>
    <t xml:space="preserve">Low</t>
  </si>
  <si>
    <t xml:space="preserve">Medium</t>
  </si>
  <si>
    <t xml:space="preserve">High</t>
  </si>
  <si>
    <t xml:space="preserve">8. What moves together with marks? (correlation)</t>
  </si>
  <si>
    <t xml:space="preserve">Compared with Score (%)</t>
  </si>
  <si>
    <t xml:space="preserve">Correlation (r)</t>
  </si>
  <si>
    <t xml:space="preserve">How strong?</t>
  </si>
  <si>
    <t xml:space="preserve">|r| (strength)</t>
  </si>
  <si>
    <t xml:space="preserve">Rank</t>
  </si>
  <si>
    <t xml:space="preserve">Attendance (band midpoint)</t>
  </si>
  <si>
    <t xml:space="preserve">Study Habit Index</t>
  </si>
  <si>
    <t xml:space="preserve">Belief attendance helps</t>
  </si>
  <si>
    <t xml:space="preserve">Other links worth noting</t>
  </si>
  <si>
    <t xml:space="preserve">Study Habit Index vs Confidence</t>
  </si>
  <si>
    <t xml:space="preserve">Study Habit Index vs Satisfaction</t>
  </si>
  <si>
    <t xml:space="preserve">Confidence vs Satisfaction</t>
  </si>
  <si>
    <t xml:space="preserve">Correlation only shows two things move together. It does not prove one causes the other. Scores are self-reported.</t>
  </si>
  <si>
    <t xml:space="preserve">9. Where respondents study (top 8)</t>
  </si>
  <si>
    <t xml:space="preserve">10. Key findings (detailed)</t>
  </si>
  <si>
    <t xml:space="preserve">Keep in mind: 65 students reached directly, not a random sample. Marks and ratings are self-reported, so these are patterns in this group, not facts about all students. Correlation does not prove cause.</t>
  </si>
  <si>
    <t xml:space="preserve">11. Key questions and what the data shows</t>
  </si>
  <si>
    <t xml:space="preserve">Question</t>
  </si>
  <si>
    <t xml:space="preserve">Analysis used</t>
  </si>
  <si>
    <t xml:space="preserve">What the data shows</t>
  </si>
  <si>
    <t xml:space="preserve">Does attendance relate to marks?</t>
  </si>
  <si>
    <t xml:space="preserve">Correlation + attendance groups (sections 6 and 8)</t>
  </si>
  <si>
    <t xml:space="preserve">Do study habits relate to marks?</t>
  </si>
  <si>
    <t xml:space="preserve">Habit Index + correlation (sections 7 and 8)</t>
  </si>
  <si>
    <t xml:space="preserve">Does field of study differ in performance?</t>
  </si>
  <si>
    <t xml:space="preserve">Average score by field (section 4)</t>
  </si>
  <si>
    <t xml:space="preserve">Does institution type differ?</t>
  </si>
  <si>
    <t xml:space="preserve">Average score by institution (section 3)</t>
  </si>
  <si>
    <t xml:space="preserve">Which factors move most with marks?</t>
  </si>
  <si>
    <t xml:space="preserve">Correlation analysis (section 8)</t>
  </si>
  <si>
    <t xml:space="preserve">12. Recommendations</t>
  </si>
  <si>
    <t xml:space="preserve">2. Encourage consistent study routines rather than focusing only on study duration.</t>
  </si>
  <si>
    <t xml:space="preserve">3. Use attendance and study-habit indicators as early-warning variables for further analysis.</t>
  </si>
  <si>
    <t xml:space="preserve">4. Collect a larger sample in future studies before making broader conclusions.</t>
  </si>
  <si>
    <t xml:space="preserve">5. Treat field and institution comparisons as indicative only: several groups have fewer than 10 scored students.</t>
  </si>
  <si>
    <t xml:space="preserve">Data &gt; Cleaning &gt; Analysis &gt; Visualization &gt; Insights &gt; Recommendations</t>
  </si>
  <si>
    <t xml:space="preserve">Excel-Based Business Analytics Project  |  65 survey responses on marks, attendance and study habits  |  Shristi Sharma</t>
  </si>
  <si>
    <t xml:space="preserve">SURVEY RESPONSES</t>
  </si>
  <si>
    <t xml:space="preserve">AVERAGE SCORE</t>
  </si>
  <si>
    <t xml:space="preserve">MEDIAN SCORE</t>
  </si>
  <si>
    <t xml:space="preserve">STUDY HABIT INDEX (1-6)</t>
  </si>
  <si>
    <t xml:space="preserve">students surveyed</t>
  </si>
  <si>
    <t xml:space="preserve">mean of students with a usable score</t>
  </si>
  <si>
    <t xml:space="preserve">half scored above this</t>
  </si>
  <si>
    <t xml:space="preserve">Average of consistency, motivation, time management and focus ratings.</t>
  </si>
  <si>
    <t xml:space="preserve">Visual analysis</t>
  </si>
  <si>
    <t xml:space="preserve">What the data says</t>
  </si>
  <si>
    <t xml:space="preserve">PERFORMANCE</t>
  </si>
  <si>
    <t xml:space="preserve">ATTENDANCE</t>
  </si>
  <si>
    <t xml:space="preserve">STUDY HABITS</t>
  </si>
  <si>
    <t xml:space="preserve">Keep in mind: 65 students reached directly, not a random sample. Marks and ratings are self-reported, so treat these as patterns in this group, not facts about all students. Correlation does not prove cause. Longer explanations are on the Analysis sheet.</t>
  </si>
  <si>
    <t xml:space="preserve">Assumptions (blue cells can be changed, everything else updates)</t>
  </si>
  <si>
    <t xml:space="preserve">Item</t>
  </si>
  <si>
    <t xml:space="preserve">Why</t>
  </si>
  <si>
    <t xml:space="preserve">CGPA / SGPA to % multiplier</t>
  </si>
  <si>
    <t xml:space="preserve">Conversion assumption used for this project: CGPA/SGPA x 9.5. Verify against the respondent's university grading rule where available.</t>
  </si>
  <si>
    <t xml:space="preserve">Lowest believable score (%)</t>
  </si>
  <si>
    <t xml:space="preserve">Anything below this is treated as a typing mistake and left out of score analysis (one 2 CGPA answer).</t>
  </si>
  <si>
    <t xml:space="preserve">Low study habit if index is below</t>
  </si>
  <si>
    <t xml:space="preserve">Cut-off I chose myself to split students into Low / Medium / High habit groups.</t>
  </si>
  <si>
    <t xml:space="preserve">High study habit if index is at least</t>
  </si>
  <si>
    <t xml:space="preserve">Same idea, upper cut-off.</t>
  </si>
  <si>
    <t xml:space="preserve">Midpoint used (%)</t>
  </si>
  <si>
    <t xml:space="preserve">Note</t>
  </si>
  <si>
    <t xml:space="preserve">Bands are ranges, so I used the middle of each as a single number for correlation.</t>
  </si>
  <si>
    <t xml:space="preserve">Rating scale: survey answers were recorded from 1 to 6 (1 = lowest, 6 = highest). Study Habit Index (1-6) = average of consistency, motivation, time management and focus ratings.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</si>
</sst>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\ h:mm:ss"/>
    <numFmt numFmtId="166" formatCode="0%"/>
    <numFmt numFmtId="167" formatCode="0.00%"/>
    <numFmt numFmtId="168" formatCode="0.0"/>
    <numFmt numFmtId="169" formatCode="0.00"/>
    <numFmt numFmtId="170" formatCode="0"/>
    <numFmt numFmtId="171" formatCode="General"/>
    <numFmt numFmtId="172" formatCode="0.0\%"/>
    <numFmt numFmtId="173" formatCode="0.00&quot; / 6&quot;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b val="true"/>
      <sz val="13"/>
      <color rgb="FF2A9D8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2A9D8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name val="Arial"/>
      <family val="2"/>
    </font>
    <font>
      <b val="true"/>
      <sz val="11"/>
      <color rgb="FF2A9D8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24"/>
      <color rgb="FF1F3864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9"/>
      <color rgb="FF2A9D8F"/>
      <name val="Arial"/>
      <family val="0"/>
      <charset val="1"/>
    </font>
    <font>
      <b val="true"/>
      <sz val="11"/>
      <color rgb="FF1F3864"/>
      <name val="Arial"/>
      <family val="2"/>
    </font>
    <font>
      <b val="true"/>
      <sz val="9"/>
      <color rgb="FF404040"/>
      <name val="Arial"/>
      <family val="2"/>
    </font>
    <font>
      <sz val="9"/>
      <color rgb="FF404040"/>
      <name val="Arial"/>
      <family val="2"/>
    </font>
    <font>
      <b val="true"/>
      <sz val="10"/>
      <color rgb="FF000000"/>
      <name val="Arial"/>
      <family val="2"/>
    </font>
    <font>
      <b val="true"/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A9D8F"/>
        <bgColor rgb="FF008080"/>
      </patternFill>
    </fill>
    <fill>
      <patternFill patternType="solid">
        <fgColor rgb="FFF4F6F8"/>
        <bgColor rgb="FFFFFFFF"/>
      </patternFill>
    </fill>
    <fill>
      <patternFill patternType="solid">
        <fgColor rgb="FFFFF8E1"/>
        <bgColor rgb="FFF4F6F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A9D8F"/>
      </bottom>
      <diagonal/>
    </border>
    <border diagonalUp="false" diagonalDown="false"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8E1"/>
      <rgbColor rgb="FFF4F6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EE5"/>
      <rgbColor rgb="FFD9DEE4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E9A23B"/>
      <rgbColor rgb="FFFF6600"/>
      <rgbColor rgb="FF6B7280"/>
      <rgbColor rgb="FFB3B3B3"/>
      <rgbColor rgb="FF1F3864"/>
      <rgbColor rgb="FF2A9D8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864"/>
                </a:solidFill>
                <a:latin typeface="Arial"/>
                <a:ea typeface="Arial"/>
              </a:defRPr>
            </a:pPr>
            <a:r>
              <a:rPr b="1" sz="1100" spc="-1" strike="noStrike">
                <a:solidFill>
                  <a:srgbClr val="1f3864"/>
                </a:solidFill>
                <a:latin typeface="Arial"/>
                <a:ea typeface="Arial"/>
              </a:rPr>
              <a:t>1. Average score by attendance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"Average score (%)"</c:f>
              <c:strCache>
                <c:ptCount val="1"/>
                <c:pt idx="0">
                  <c:v>Average score (%)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40404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Analysis!$A$60:$A$65</c:f>
              <c:strCache>
                <c:ptCount val="6"/>
                <c:pt idx="0">
                  <c:v>below 50%</c:v>
                </c:pt>
                <c:pt idx="1">
                  <c:v>51-60%</c:v>
                </c:pt>
                <c:pt idx="2">
                  <c:v>61-70%</c:v>
                </c:pt>
                <c:pt idx="3">
                  <c:v>71-80%</c:v>
                </c:pt>
                <c:pt idx="4">
                  <c:v>81-90%</c:v>
                </c:pt>
                <c:pt idx="5">
                  <c:v>91-100%</c:v>
                </c:pt>
              </c:strCache>
            </c:strRef>
          </c:cat>
          <c:val>
            <c:numRef>
              <c:f>Analysis!$D$60:$D$65</c:f>
              <c:numCache>
                <c:formatCode>0.0</c:formatCode>
                <c:ptCount val="6"/>
                <c:pt idx="0">
                  <c:v>64.079</c:v>
                </c:pt>
                <c:pt idx="1">
                  <c:v>66.817</c:v>
                </c:pt>
                <c:pt idx="2">
                  <c:v>68.359375</c:v>
                </c:pt>
                <c:pt idx="3">
                  <c:v>77.5781578947368</c:v>
                </c:pt>
                <c:pt idx="4">
                  <c:v>69.806875</c:v>
                </c:pt>
                <c:pt idx="5">
                  <c:v>72.3</c:v>
                </c:pt>
              </c:numCache>
            </c:numRef>
          </c:val>
        </c:ser>
        <c:gapWidth val="60"/>
        <c:overlap val="0"/>
        <c:axId val="73865224"/>
        <c:axId val="87921879"/>
      </c:barChart>
      <c:catAx>
        <c:axId val="73865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Class attendance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  <a:ea typeface="Arial"/>
              </a:defRPr>
            </a:pPr>
          </a:p>
        </c:txPr>
        <c:crossAx val="87921879"/>
        <c:crosses val="autoZero"/>
        <c:auto val="1"/>
        <c:lblAlgn val="ctr"/>
        <c:lblOffset val="100"/>
        <c:noMultiLvlLbl val="0"/>
      </c:catAx>
      <c:valAx>
        <c:axId val="87921879"/>
        <c:scaling>
          <c:orientation val="minMax"/>
          <c:max val="100"/>
          <c:min val="0"/>
        </c:scaling>
        <c:delete val="0"/>
        <c:axPos val="l"/>
        <c:majorGridlines>
          <c:spPr>
            <a:ln w="6480">
              <a:solidFill>
                <a:srgbClr val="d9dee4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Average score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  <a:ea typeface="Arial"/>
              </a:defRPr>
            </a:pPr>
          </a:p>
        </c:txPr>
        <c:crossAx val="73865224"/>
        <c:crosses val="autoZero"/>
        <c:crossBetween val="between"/>
        <c:majorUnit val="2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864"/>
                </a:solidFill>
                <a:latin typeface="Arial"/>
                <a:ea typeface="Arial"/>
              </a:defRPr>
            </a:pPr>
            <a:r>
              <a:rPr b="1" sz="1100" spc="-1" strike="noStrike">
                <a:solidFill>
                  <a:srgbClr val="1f3864"/>
                </a:solidFill>
                <a:latin typeface="Arial"/>
                <a:ea typeface="Arial"/>
              </a:rPr>
              <a:t>2. Average score by study habit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"Average score (%)"</c:f>
              <c:strCache>
                <c:ptCount val="1"/>
                <c:pt idx="0">
                  <c:v>Average score (%)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40404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Analysis!$A$70:$A$72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Analysis!$D$70:$D$72</c:f>
              <c:numCache>
                <c:formatCode>0.0</c:formatCode>
                <c:ptCount val="3"/>
                <c:pt idx="0">
                  <c:v>69.1291666666667</c:v>
                </c:pt>
                <c:pt idx="1">
                  <c:v>74.3012</c:v>
                </c:pt>
                <c:pt idx="2">
                  <c:v>68.5315789473684</c:v>
                </c:pt>
              </c:numCache>
            </c:numRef>
          </c:val>
        </c:ser>
        <c:gapWidth val="60"/>
        <c:overlap val="0"/>
        <c:axId val="78720824"/>
        <c:axId val="54567810"/>
      </c:barChart>
      <c:catAx>
        <c:axId val="787208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Study habit group (Low / Medium / High)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  <a:ea typeface="Arial"/>
              </a:defRPr>
            </a:pPr>
          </a:p>
        </c:txPr>
        <c:crossAx val="54567810"/>
        <c:crosses val="autoZero"/>
        <c:auto val="1"/>
        <c:lblAlgn val="ctr"/>
        <c:lblOffset val="100"/>
        <c:noMultiLvlLbl val="0"/>
      </c:catAx>
      <c:valAx>
        <c:axId val="54567810"/>
        <c:scaling>
          <c:orientation val="minMax"/>
          <c:max val="100"/>
          <c:min val="0"/>
        </c:scaling>
        <c:delete val="0"/>
        <c:axPos val="l"/>
        <c:majorGridlines>
          <c:spPr>
            <a:ln w="6480">
              <a:solidFill>
                <a:srgbClr val="d9dee4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Average score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  <a:ea typeface="Arial"/>
              </a:defRPr>
            </a:pPr>
          </a:p>
        </c:txPr>
        <c:crossAx val="78720824"/>
        <c:crosses val="autoZero"/>
        <c:crossBetween val="between"/>
        <c:majorUnit val="2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864"/>
                </a:solidFill>
                <a:latin typeface="Arial"/>
                <a:ea typeface="Arial"/>
              </a:defRPr>
            </a:pPr>
            <a:r>
              <a:rPr b="1" sz="1100" spc="-1" strike="noStrike">
                <a:solidFill>
                  <a:srgbClr val="1f3864"/>
                </a:solidFill>
                <a:latin typeface="Arial"/>
                <a:ea typeface="Arial"/>
              </a:rPr>
              <a:t>3. Average score by field of study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"Average score (%)"</c:f>
              <c:strCache>
                <c:ptCount val="1"/>
                <c:pt idx="0">
                  <c:v>Average score (%)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40404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Analysis!$A$41:$A$47</c:f>
              <c:strCache>
                <c:ptCount val="7"/>
                <c:pt idx="0">
                  <c:v>Arts/Humanities</c:v>
                </c:pt>
                <c:pt idx="1">
                  <c:v>Medicine/Healthcare</c:v>
                </c:pt>
                <c:pt idx="2">
                  <c:v>Business/Management</c:v>
                </c:pt>
                <c:pt idx="3">
                  <c:v>Engineering</c:v>
                </c:pt>
                <c:pt idx="4">
                  <c:v>Computer Science/IT</c:v>
                </c:pt>
                <c:pt idx="5">
                  <c:v>Commerce</c:v>
                </c:pt>
                <c:pt idx="6">
                  <c:v>Law/Science/Other</c:v>
                </c:pt>
              </c:strCache>
            </c:strRef>
          </c:cat>
          <c:val>
            <c:numRef>
              <c:f>Analysis!$D$41:$D$47</c:f>
              <c:numCache>
                <c:formatCode>0.0</c:formatCode>
                <c:ptCount val="7"/>
                <c:pt idx="0">
                  <c:v>72.803125</c:v>
                </c:pt>
                <c:pt idx="1">
                  <c:v>74.1163636363636</c:v>
                </c:pt>
                <c:pt idx="2">
                  <c:v>69.8022222222222</c:v>
                </c:pt>
                <c:pt idx="3">
                  <c:v>62.92125</c:v>
                </c:pt>
                <c:pt idx="4">
                  <c:v>75.31875</c:v>
                </c:pt>
                <c:pt idx="5">
                  <c:v>64.599</c:v>
                </c:pt>
                <c:pt idx="6">
                  <c:v>73.338</c:v>
                </c:pt>
              </c:numCache>
            </c:numRef>
          </c:val>
        </c:ser>
        <c:gapWidth val="60"/>
        <c:overlap val="0"/>
        <c:axId val="43352792"/>
        <c:axId val="86281416"/>
      </c:barChart>
      <c:catAx>
        <c:axId val="433527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  <a:ea typeface="Arial"/>
              </a:defRPr>
            </a:pPr>
          </a:p>
        </c:txPr>
        <c:crossAx val="86281416"/>
        <c:crosses val="autoZero"/>
        <c:auto val="1"/>
        <c:lblAlgn val="ctr"/>
        <c:lblOffset val="100"/>
        <c:noMultiLvlLbl val="0"/>
      </c:catAx>
      <c:valAx>
        <c:axId val="86281416"/>
        <c:scaling>
          <c:orientation val="minMax"/>
          <c:max val="100"/>
          <c:min val="0"/>
        </c:scaling>
        <c:delete val="0"/>
        <c:axPos val="l"/>
        <c:majorGridlines>
          <c:spPr>
            <a:ln w="6480">
              <a:solidFill>
                <a:srgbClr val="d9dee4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Average score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  <a:ea typeface="Arial"/>
              </a:defRPr>
            </a:pPr>
          </a:p>
        </c:txPr>
        <c:crossAx val="43352792"/>
        <c:crosses val="max"/>
        <c:crossBetween val="between"/>
        <c:majorUnit val="2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864"/>
                </a:solidFill>
                <a:latin typeface="Arial"/>
                <a:ea typeface="Arial"/>
              </a:defRPr>
            </a:pPr>
            <a:r>
              <a:rPr b="1" sz="1100" spc="-1" strike="noStrike">
                <a:solidFill>
                  <a:srgbClr val="1f3864"/>
                </a:solidFill>
                <a:latin typeface="Arial"/>
                <a:ea typeface="Arial"/>
              </a:rPr>
              <a:t>4. Study Habit Index vs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"Students"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2a9d8f"/>
            </a:solidFill>
            <a:ln w="31680">
              <a:noFill/>
            </a:ln>
          </c:spPr>
          <c:marker>
            <c:symbol val="circle"/>
            <c:size val="7"/>
            <c:spPr>
              <a:solidFill>
                <a:srgbClr val="2a9d8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Analysis!$I$5:$I$66</c:f>
              <c:numCache>
                <c:formatCode>0.00</c:formatCode>
                <c:ptCount val="62"/>
                <c:pt idx="0">
                  <c:v>3.5</c:v>
                </c:pt>
                <c:pt idx="1">
                  <c:v>2.25</c:v>
                </c:pt>
                <c:pt idx="2">
                  <c:v>1.75</c:v>
                </c:pt>
                <c:pt idx="3">
                  <c:v>5.25</c:v>
                </c:pt>
                <c:pt idx="4">
                  <c:v>3.5</c:v>
                </c:pt>
                <c:pt idx="5">
                  <c:v>3</c:v>
                </c:pt>
                <c:pt idx="6">
                  <c:v>3.5</c:v>
                </c:pt>
                <c:pt idx="7">
                  <c:v>4.5</c:v>
                </c:pt>
                <c:pt idx="8">
                  <c:v>5</c:v>
                </c:pt>
                <c:pt idx="9">
                  <c:v>3.25</c:v>
                </c:pt>
                <c:pt idx="10">
                  <c:v>6</c:v>
                </c:pt>
                <c:pt idx="11">
                  <c:v>6</c:v>
                </c:pt>
                <c:pt idx="12">
                  <c:v>4.25</c:v>
                </c:pt>
                <c:pt idx="13">
                  <c:v>4</c:v>
                </c:pt>
                <c:pt idx="14">
                  <c:v>5</c:v>
                </c:pt>
                <c:pt idx="15">
                  <c:v>4.25</c:v>
                </c:pt>
                <c:pt idx="16">
                  <c:v>3</c:v>
                </c:pt>
                <c:pt idx="17">
                  <c:v>3</c:v>
                </c:pt>
                <c:pt idx="18">
                  <c:v>2.75</c:v>
                </c:pt>
                <c:pt idx="19">
                  <c:v>1.5</c:v>
                </c:pt>
                <c:pt idx="20">
                  <c:v>2</c:v>
                </c:pt>
                <c:pt idx="21">
                  <c:v>4</c:v>
                </c:pt>
                <c:pt idx="22">
                  <c:v>4.25</c:v>
                </c:pt>
                <c:pt idx="23">
                  <c:v>6</c:v>
                </c:pt>
                <c:pt idx="24">
                  <c:v>5.5</c:v>
                </c:pt>
                <c:pt idx="25">
                  <c:v>3.25</c:v>
                </c:pt>
                <c:pt idx="26">
                  <c:v>1.75</c:v>
                </c:pt>
                <c:pt idx="27">
                  <c:v>5.75</c:v>
                </c:pt>
                <c:pt idx="28">
                  <c:v>4.5</c:v>
                </c:pt>
                <c:pt idx="29">
                  <c:v>4.25</c:v>
                </c:pt>
                <c:pt idx="30">
                  <c:v>5</c:v>
                </c:pt>
                <c:pt idx="31">
                  <c:v>3.5</c:v>
                </c:pt>
                <c:pt idx="32">
                  <c:v>4.5</c:v>
                </c:pt>
                <c:pt idx="33">
                  <c:v>3.25</c:v>
                </c:pt>
                <c:pt idx="34">
                  <c:v>3.25</c:v>
                </c:pt>
                <c:pt idx="35">
                  <c:v>4.25</c:v>
                </c:pt>
                <c:pt idx="36">
                  <c:v>4.25</c:v>
                </c:pt>
                <c:pt idx="37">
                  <c:v>4.5</c:v>
                </c:pt>
                <c:pt idx="38">
                  <c:v>3.25</c:v>
                </c:pt>
                <c:pt idx="39">
                  <c:v>5.25</c:v>
                </c:pt>
                <c:pt idx="40">
                  <c:v>3.5</c:v>
                </c:pt>
                <c:pt idx="41">
                  <c:v>5</c:v>
                </c:pt>
                <c:pt idx="42">
                  <c:v>3.5</c:v>
                </c:pt>
                <c:pt idx="43">
                  <c:v>3.75</c:v>
                </c:pt>
                <c:pt idx="44">
                  <c:v>3.25</c:v>
                </c:pt>
                <c:pt idx="45">
                  <c:v>3</c:v>
                </c:pt>
                <c:pt idx="46">
                  <c:v>4.25</c:v>
                </c:pt>
                <c:pt idx="47">
                  <c:v>3.75</c:v>
                </c:pt>
                <c:pt idx="48">
                  <c:v>3.25</c:v>
                </c:pt>
                <c:pt idx="49">
                  <c:v>3.5</c:v>
                </c:pt>
                <c:pt idx="50">
                  <c:v>3.75</c:v>
                </c:pt>
                <c:pt idx="51">
                  <c:v>3.75</c:v>
                </c:pt>
                <c:pt idx="52">
                  <c:v>3.75</c:v>
                </c:pt>
                <c:pt idx="53">
                  <c:v>3.25</c:v>
                </c:pt>
                <c:pt idx="54">
                  <c:v>3.75</c:v>
                </c:pt>
                <c:pt idx="55">
                  <c:v>5</c:v>
                </c:pt>
                <c:pt idx="56">
                  <c:v>3.5</c:v>
                </c:pt>
                <c:pt idx="57">
                  <c:v>4.25</c:v>
                </c:pt>
                <c:pt idx="58">
                  <c:v>6</c:v>
                </c:pt>
                <c:pt idx="59">
                  <c:v>5</c:v>
                </c:pt>
                <c:pt idx="60">
                  <c:v>4</c:v>
                </c:pt>
                <c:pt idx="61">
                  <c:v>4.75</c:v>
                </c:pt>
              </c:numCache>
            </c:numRef>
          </c:xVal>
          <c:yVal>
            <c:numRef>
              <c:f>Analysis!$J$5:$J$66</c:f>
              <c:numCache>
                <c:formatCode>0.0</c:formatCode>
                <c:ptCount val="62"/>
                <c:pt idx="0">
                  <c:v>85.12</c:v>
                </c:pt>
                <c:pt idx="1">
                  <c:v>78</c:v>
                </c:pt>
                <c:pt idx="2">
                  <c:v>70</c:v>
                </c:pt>
                <c:pt idx="3">
                  <c:v>87</c:v>
                </c:pt>
                <c:pt idx="4">
                  <c:v>43</c:v>
                </c:pt>
                <c:pt idx="5">
                  <c:v>61.75</c:v>
                </c:pt>
                <c:pt idx="6">
                  <c:v>60</c:v>
                </c:pt>
                <c:pt idx="7">
                  <c:v>64</c:v>
                </c:pt>
                <c:pt idx="8">
                  <c:v>64.6</c:v>
                </c:pt>
                <c:pt idx="9">
                  <c:v>68</c:v>
                </c:pt>
                <c:pt idx="10">
                  <c:v>50</c:v>
                </c:pt>
                <c:pt idx="11">
                  <c:v>70</c:v>
                </c:pt>
                <c:pt idx="12">
                  <c:v>67</c:v>
                </c:pt>
                <c:pt idx="13">
                  <c:v>92.15</c:v>
                </c:pt>
                <c:pt idx="14">
                  <c:v>76.095</c:v>
                </c:pt>
                <c:pt idx="15">
                  <c:v>64</c:v>
                </c:pt>
                <c:pt idx="16">
                  <c:v>63.65</c:v>
                </c:pt>
                <c:pt idx="17">
                  <c:v>80</c:v>
                </c:pt>
                <c:pt idx="18">
                  <c:v>67</c:v>
                </c:pt>
                <c:pt idx="19">
                  <c:v>59.85</c:v>
                </c:pt>
                <c:pt idx="20">
                  <c:v>65</c:v>
                </c:pt>
                <c:pt idx="21">
                  <c:v>70</c:v>
                </c:pt>
                <c:pt idx="22">
                  <c:v>63</c:v>
                </c:pt>
                <c:pt idx="23">
                  <c:v>70</c:v>
                </c:pt>
                <c:pt idx="24">
                  <c:v>70</c:v>
                </c:pt>
                <c:pt idx="25">
                  <c:v>76.855</c:v>
                </c:pt>
                <c:pt idx="26">
                  <c:v>80</c:v>
                </c:pt>
                <c:pt idx="27">
                  <c:v>74.1</c:v>
                </c:pt>
                <c:pt idx="28">
                  <c:v>78</c:v>
                </c:pt>
                <c:pt idx="29">
                  <c:v>90</c:v>
                </c:pt>
                <c:pt idx="30">
                  <c:v>78</c:v>
                </c:pt>
                <c:pt idx="31">
                  <c:v>88.35</c:v>
                </c:pt>
                <c:pt idx="32">
                  <c:v>67</c:v>
                </c:pt>
                <c:pt idx="33">
                  <c:v>74.1</c:v>
                </c:pt>
                <c:pt idx="34">
                  <c:v>73</c:v>
                </c:pt>
                <c:pt idx="35">
                  <c:v>90.25</c:v>
                </c:pt>
                <c:pt idx="36">
                  <c:v>79.8</c:v>
                </c:pt>
                <c:pt idx="37">
                  <c:v>67.355</c:v>
                </c:pt>
                <c:pt idx="38">
                  <c:v>72.2</c:v>
                </c:pt>
                <c:pt idx="39">
                  <c:v>63</c:v>
                </c:pt>
                <c:pt idx="40">
                  <c:v>67</c:v>
                </c:pt>
                <c:pt idx="41">
                  <c:v>69.35</c:v>
                </c:pt>
                <c:pt idx="42">
                  <c:v>93</c:v>
                </c:pt>
                <c:pt idx="43">
                  <c:v>78</c:v>
                </c:pt>
                <c:pt idx="44">
                  <c:v>76</c:v>
                </c:pt>
                <c:pt idx="45">
                  <c:v>72</c:v>
                </c:pt>
                <c:pt idx="46">
                  <c:v>86</c:v>
                </c:pt>
                <c:pt idx="47">
                  <c:v>83</c:v>
                </c:pt>
                <c:pt idx="48">
                  <c:v>50.92</c:v>
                </c:pt>
                <c:pt idx="49">
                  <c:v>91.865</c:v>
                </c:pt>
                <c:pt idx="50">
                  <c:v>65.645</c:v>
                </c:pt>
                <c:pt idx="51">
                  <c:v>81</c:v>
                </c:pt>
                <c:pt idx="52">
                  <c:v>48.3</c:v>
                </c:pt>
                <c:pt idx="53">
                  <c:v>56</c:v>
                </c:pt>
                <c:pt idx="54">
                  <c:v>65.265</c:v>
                </c:pt>
                <c:pt idx="55">
                  <c:v>58.3</c:v>
                </c:pt>
                <c:pt idx="56">
                  <c:v>76</c:v>
                </c:pt>
                <c:pt idx="57">
                  <c:v>72.485</c:v>
                </c:pt>
                <c:pt idx="58">
                  <c:v>50</c:v>
                </c:pt>
                <c:pt idx="59">
                  <c:v>56</c:v>
                </c:pt>
                <c:pt idx="60">
                  <c:v>57.3</c:v>
                </c:pt>
                <c:pt idx="61">
                  <c:v>89.3</c:v>
                </c:pt>
              </c:numCache>
            </c:numRef>
          </c:yVal>
          <c:smooth val="1"/>
        </c:ser>
        <c:axId val="4889053"/>
        <c:axId val="23032138"/>
      </c:scatterChart>
      <c:valAx>
        <c:axId val="4889053"/>
        <c:scaling>
          <c:orientation val="minMax"/>
          <c:max val="6"/>
          <c:min val="1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Study Habit Index (1-6)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  <a:ea typeface="Arial"/>
              </a:defRPr>
            </a:pPr>
          </a:p>
        </c:txPr>
        <c:crossAx val="23032138"/>
        <c:crosses val="autoZero"/>
        <c:crossBetween val="midCat"/>
        <c:majorUnit val="1"/>
      </c:valAx>
      <c:valAx>
        <c:axId val="23032138"/>
        <c:scaling>
          <c:orientation val="minMax"/>
          <c:max val="100"/>
          <c:min val="30"/>
        </c:scaling>
        <c:delete val="0"/>
        <c:axPos val="l"/>
        <c:majorGridlines>
          <c:spPr>
            <a:ln w="6480">
              <a:solidFill>
                <a:srgbClr val="d9dee4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Score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  <a:ea typeface="Arial"/>
              </a:defRPr>
            </a:pPr>
          </a:p>
        </c:txPr>
        <c:crossAx val="488905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864"/>
                </a:solidFill>
                <a:latin typeface="Arial"/>
                <a:ea typeface="Arial"/>
              </a:defRPr>
            </a:pPr>
            <a:r>
              <a:rPr b="1" sz="1100" spc="-1" strike="noStrike">
                <a:solidFill>
                  <a:srgbClr val="1f3864"/>
                </a:solidFill>
                <a:latin typeface="Arial"/>
                <a:ea typeface="Arial"/>
              </a:rPr>
              <a:t>5. Students by institution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"Students"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9d8f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f3864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9a23b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0b7c3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Analysis!$A$32:$A$35</c:f>
              <c:strCache>
                <c:ptCount val="4"/>
                <c:pt idx="0">
                  <c:v>Private</c:v>
                </c:pt>
                <c:pt idx="1">
                  <c:v>Government</c:v>
                </c:pt>
                <c:pt idx="2">
                  <c:v>Government-aided</c:v>
                </c:pt>
                <c:pt idx="3">
                  <c:v>Other (Non-profit)</c:v>
                </c:pt>
              </c:strCache>
            </c:strRef>
          </c:cat>
          <c:val>
            <c:numRef>
              <c:f>Analysis!$B$32:$B$35</c:f>
              <c:numCache>
                <c:formatCode>0</c:formatCode>
                <c:ptCount val="4"/>
                <c:pt idx="0">
                  <c:v>34</c:v>
                </c:pt>
                <c:pt idx="1">
                  <c:v>18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9</xdr:col>
      <xdr:colOff>4320</xdr:colOff>
      <xdr:row>27</xdr:row>
      <xdr:rowOff>73080</xdr:rowOff>
    </xdr:to>
    <xdr:graphicFrame>
      <xdr:nvGraphicFramePr>
        <xdr:cNvPr id="0" name="Chart 1"/>
        <xdr:cNvGraphicFramePr/>
      </xdr:nvGraphicFramePr>
      <xdr:xfrm>
        <a:off x="141120" y="2467080"/>
        <a:ext cx="5363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17</xdr:col>
      <xdr:colOff>4320</xdr:colOff>
      <xdr:row>27</xdr:row>
      <xdr:rowOff>73080</xdr:rowOff>
    </xdr:to>
    <xdr:graphicFrame>
      <xdr:nvGraphicFramePr>
        <xdr:cNvPr id="1" name="Chart 2"/>
        <xdr:cNvGraphicFramePr/>
      </xdr:nvGraphicFramePr>
      <xdr:xfrm>
        <a:off x="5500440" y="2467080"/>
        <a:ext cx="5363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9</xdr:col>
      <xdr:colOff>4320</xdr:colOff>
      <xdr:row>46</xdr:row>
      <xdr:rowOff>73080</xdr:rowOff>
    </xdr:to>
    <xdr:graphicFrame>
      <xdr:nvGraphicFramePr>
        <xdr:cNvPr id="2" name="Chart 3"/>
        <xdr:cNvGraphicFramePr/>
      </xdr:nvGraphicFramePr>
      <xdr:xfrm>
        <a:off x="141120" y="6086520"/>
        <a:ext cx="5363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29</xdr:row>
      <xdr:rowOff>0</xdr:rowOff>
    </xdr:from>
    <xdr:to>
      <xdr:col>17</xdr:col>
      <xdr:colOff>4320</xdr:colOff>
      <xdr:row>46</xdr:row>
      <xdr:rowOff>73080</xdr:rowOff>
    </xdr:to>
    <xdr:graphicFrame>
      <xdr:nvGraphicFramePr>
        <xdr:cNvPr id="3" name="Chart 4"/>
        <xdr:cNvGraphicFramePr/>
      </xdr:nvGraphicFramePr>
      <xdr:xfrm>
        <a:off x="5500440" y="6086520"/>
        <a:ext cx="5363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9</xdr:col>
      <xdr:colOff>4320</xdr:colOff>
      <xdr:row>64</xdr:row>
      <xdr:rowOff>119520</xdr:rowOff>
    </xdr:to>
    <xdr:graphicFrame>
      <xdr:nvGraphicFramePr>
        <xdr:cNvPr id="4" name="Chart 5"/>
        <xdr:cNvGraphicFramePr/>
      </xdr:nvGraphicFramePr>
      <xdr:xfrm>
        <a:off x="141120" y="9705960"/>
        <a:ext cx="5363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m_Responses" displayName="Form_Responses" ref="A1:O66" headerRowCount="1" totalsRowCount="0" totalsRowShown="0">
  <tableColumns count="15">
    <tableColumn id="1" name="Timestamp"/>
    <tableColumn id="2" name="1. What type of institution do you study in?  "/>
    <tableColumn id="3" name="2. What is your field of study? "/>
    <tableColumn id="4" name="  3. What year of study are you currently in?  "/>
    <tableColumn id="5" name="4. Which city do you currently study in?  "/>
    <tableColumn id="6" name="5. What was your percentage in your most recent semester/examination?  "/>
    <tableColumn id="7" name="  Approximately what is your average class attendance?  "/>
    <tableColumn id="8" name="  1. How satisfied are you with your overall academic performance?  "/>
    <tableColumn id="9" name="2. How confident are you in your ability to perform well academically?  "/>
    <tableColumn id="10" name="3. How consistent are you with your study routine?"/>
    <tableColumn id="11" name="4. How well do you understand the subjects you are currently studying?  "/>
    <tableColumn id="12" name="  5. How motivated are you to study regularly?  "/>
    <tableColumn id="13" name="6. How effectively do you manage your study time?&#10;"/>
    <tableColumn id="14" name="  7. How focused are you while studying?"/>
    <tableColumn id="15" name="8. How much do you feel your attendance contributes to your academic performance? 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0" min="1" style="0" width="2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6" customFormat="false" ht="21.7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customFormat="false" ht="31.5" hidden="false" customHeight="true" outlineLevel="0" collapsed="false">
      <c r="B7" s="5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9" customFormat="false" ht="21.75" hidden="false" customHeight="true" outlineLevel="0" collapsed="false">
      <c r="B9" s="4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customFormat="false" ht="37.5" hidden="false" customHeight="true" outlineLevel="0" collapsed="false">
      <c r="B10" s="6" t="s">
        <v>6</v>
      </c>
      <c r="C10" s="6"/>
      <c r="D10" s="6"/>
      <c r="E10" s="6"/>
      <c r="F10" s="6"/>
      <c r="G10" s="6"/>
      <c r="H10" s="6"/>
      <c r="I10" s="6"/>
      <c r="J10" s="7" t="s">
        <v>7</v>
      </c>
      <c r="K10" s="7"/>
      <c r="L10" s="6" t="s">
        <v>8</v>
      </c>
      <c r="M10" s="6"/>
      <c r="N10" s="6"/>
      <c r="O10" s="6"/>
      <c r="P10" s="6"/>
      <c r="Q10" s="6"/>
      <c r="R10" s="6"/>
      <c r="S10" s="6"/>
      <c r="T10" s="7" t="s">
        <v>7</v>
      </c>
      <c r="U10" s="7"/>
      <c r="V10" s="6" t="s">
        <v>9</v>
      </c>
      <c r="W10" s="6"/>
      <c r="X10" s="6"/>
      <c r="Y10" s="6"/>
      <c r="Z10" s="6"/>
      <c r="AA10" s="6"/>
      <c r="AB10" s="6"/>
      <c r="AC10" s="6"/>
      <c r="AD10" s="7" t="s">
        <v>7</v>
      </c>
      <c r="AE10" s="7"/>
      <c r="AF10" s="6" t="s">
        <v>10</v>
      </c>
      <c r="AG10" s="6"/>
      <c r="AH10" s="6"/>
      <c r="AI10" s="6"/>
      <c r="AJ10" s="6"/>
      <c r="AK10" s="6"/>
      <c r="AL10" s="6"/>
      <c r="AM10" s="6"/>
      <c r="AN10" s="7" t="s">
        <v>7</v>
      </c>
      <c r="AO10" s="7"/>
      <c r="AP10" s="6" t="s">
        <v>11</v>
      </c>
      <c r="AQ10" s="6"/>
      <c r="AR10" s="6"/>
      <c r="AS10" s="6"/>
      <c r="AT10" s="6"/>
      <c r="AU10" s="6"/>
      <c r="AV10" s="6"/>
      <c r="AW10" s="6"/>
      <c r="AX10" s="7" t="s">
        <v>7</v>
      </c>
      <c r="AY10" s="7"/>
      <c r="AZ10" s="8" t="s">
        <v>12</v>
      </c>
      <c r="BA10" s="8"/>
      <c r="BB10" s="8"/>
      <c r="BC10" s="8"/>
      <c r="BD10" s="8"/>
      <c r="BE10" s="8"/>
      <c r="BF10" s="8"/>
      <c r="BG10" s="8"/>
    </row>
    <row r="12" customFormat="false" ht="21.75" hidden="false" customHeight="true" outlineLevel="0" collapsed="false">
      <c r="B12" s="4" t="s">
        <v>13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customFormat="false" ht="15" hidden="false" customHeight="true" outlineLevel="0" collapsed="false">
      <c r="B13" s="9" t="s">
        <v>14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 t="s">
        <v>15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</row>
    <row r="14" customFormat="false" ht="19.5" hidden="false" customHeight="true" outlineLevel="0" collapsed="false">
      <c r="B14" s="10" t="s">
        <v>16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 t="s">
        <v>17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</row>
    <row r="15" customFormat="false" ht="19.5" hidden="false" customHeight="true" outlineLevel="0" collapsed="false">
      <c r="B15" s="12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3" t="s">
        <v>19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</row>
    <row r="16" customFormat="false" ht="19.5" hidden="false" customHeight="true" outlineLevel="0" collapsed="false">
      <c r="B16" s="10" t="s">
        <v>20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 t="s">
        <v>21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</row>
    <row r="17" customFormat="false" ht="19.5" hidden="false" customHeight="true" outlineLevel="0" collapsed="false">
      <c r="B17" s="12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 t="s">
        <v>23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</row>
    <row r="19" customFormat="false" ht="21.75" hidden="false" customHeight="true" outlineLevel="0" collapsed="false">
      <c r="B19" s="4" t="s">
        <v>24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customFormat="false" ht="49.5" hidden="false" customHeight="true" outlineLevel="0" collapsed="false">
      <c r="B20" s="14" t="s">
        <v>25</v>
      </c>
      <c r="C20" s="14"/>
      <c r="D20" s="14"/>
      <c r="E20" s="14"/>
      <c r="F20" s="14"/>
      <c r="G20" s="14"/>
      <c r="H20" s="14"/>
      <c r="I20" s="14"/>
      <c r="J20" s="14"/>
      <c r="K20" s="14"/>
      <c r="N20" s="14" t="s">
        <v>26</v>
      </c>
      <c r="O20" s="14"/>
      <c r="P20" s="14"/>
      <c r="Q20" s="14"/>
      <c r="R20" s="14"/>
      <c r="S20" s="14"/>
      <c r="T20" s="14"/>
      <c r="U20" s="14"/>
      <c r="V20" s="14"/>
      <c r="W20" s="14"/>
      <c r="Z20" s="14" t="s">
        <v>27</v>
      </c>
      <c r="AA20" s="14"/>
      <c r="AB20" s="14"/>
      <c r="AC20" s="14"/>
      <c r="AD20" s="14"/>
      <c r="AE20" s="14"/>
      <c r="AF20" s="14"/>
      <c r="AG20" s="14"/>
      <c r="AH20" s="14"/>
      <c r="AI20" s="14"/>
      <c r="AL20" s="14" t="s">
        <v>28</v>
      </c>
      <c r="AM20" s="14"/>
      <c r="AN20" s="14"/>
      <c r="AO20" s="14"/>
      <c r="AP20" s="14"/>
      <c r="AQ20" s="14"/>
      <c r="AR20" s="14"/>
      <c r="AS20" s="14"/>
      <c r="AT20" s="14"/>
      <c r="AU20" s="14"/>
      <c r="AX20" s="14" t="s">
        <v>29</v>
      </c>
      <c r="AY20" s="14"/>
      <c r="AZ20" s="14"/>
      <c r="BA20" s="14"/>
      <c r="BB20" s="14"/>
      <c r="BC20" s="14"/>
      <c r="BD20" s="14"/>
      <c r="BE20" s="14"/>
      <c r="BF20" s="14"/>
      <c r="BG20" s="14"/>
    </row>
    <row r="22" customFormat="false" ht="21.75" hidden="false" customHeight="true" outlineLevel="0" collapsed="false">
      <c r="B22" s="4" t="s">
        <v>30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customFormat="false" ht="31.5" hidden="false" customHeight="true" outlineLevel="0" collapsed="false">
      <c r="B23" s="5" t="s">
        <v>31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customFormat="false" ht="27.75" hidden="false" customHeight="true" outlineLevel="0" collapsed="false">
      <c r="B24" s="15" t="s">
        <v>32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</row>
    <row r="26" customFormat="false" ht="21.75" hidden="false" customHeight="true" outlineLevel="0" collapsed="false">
      <c r="B26" s="4" t="s">
        <v>33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customFormat="false" ht="18" hidden="false" customHeight="true" outlineLevel="0" collapsed="false">
      <c r="B27" s="16" t="s">
        <v>34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 t="s">
        <v>35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</row>
    <row r="28" customFormat="false" ht="18" hidden="false" customHeight="true" outlineLevel="0" collapsed="false">
      <c r="B28" s="16" t="s">
        <v>36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 t="s">
        <v>37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</row>
    <row r="29" customFormat="false" ht="18" hidden="false" customHeight="true" outlineLevel="0" collapsed="false">
      <c r="B29" s="16" t="s">
        <v>38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 t="s">
        <v>39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</row>
    <row r="30" customFormat="false" ht="18" hidden="false" customHeight="true" outlineLevel="0" collapsed="false">
      <c r="B30" s="16" t="s">
        <v>40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 t="s">
        <v>41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</row>
    <row r="31" customFormat="false" ht="18" hidden="false" customHeight="true" outlineLevel="0" collapsed="false">
      <c r="B31" s="16" t="s">
        <v>42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 t="s">
        <v>43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</row>
    <row r="32" customFormat="false" ht="18" hidden="false" customHeight="true" outlineLevel="0" collapsed="false">
      <c r="B32" s="16" t="s">
        <v>44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 t="s">
        <v>45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</row>
    <row r="34" customFormat="false" ht="15" hidden="false" customHeight="false" outlineLevel="0" collapsed="false">
      <c r="B34" s="18" t="s">
        <v>46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</row>
  </sheetData>
  <mergeCells count="51">
    <mergeCell ref="B2:BG2"/>
    <mergeCell ref="B3:BG3"/>
    <mergeCell ref="B4:BG4"/>
    <mergeCell ref="B6:BG6"/>
    <mergeCell ref="B7:BG7"/>
    <mergeCell ref="B9:BG9"/>
    <mergeCell ref="B10:I10"/>
    <mergeCell ref="J10:K10"/>
    <mergeCell ref="L10:S10"/>
    <mergeCell ref="T10:U10"/>
    <mergeCell ref="V10:AC10"/>
    <mergeCell ref="AD10:AE10"/>
    <mergeCell ref="AF10:AM10"/>
    <mergeCell ref="AN10:AO10"/>
    <mergeCell ref="AP10:AW10"/>
    <mergeCell ref="AX10:AY10"/>
    <mergeCell ref="AZ10:BG10"/>
    <mergeCell ref="B12:BG12"/>
    <mergeCell ref="B13:U13"/>
    <mergeCell ref="V13:BG13"/>
    <mergeCell ref="B14:U14"/>
    <mergeCell ref="V14:BG14"/>
    <mergeCell ref="B15:U15"/>
    <mergeCell ref="V15:BG15"/>
    <mergeCell ref="B16:U16"/>
    <mergeCell ref="V16:BG16"/>
    <mergeCell ref="B17:U17"/>
    <mergeCell ref="V17:BG17"/>
    <mergeCell ref="B19:BG19"/>
    <mergeCell ref="B20:K20"/>
    <mergeCell ref="N20:W20"/>
    <mergeCell ref="Z20:AI20"/>
    <mergeCell ref="AL20:AU20"/>
    <mergeCell ref="AX20:BG20"/>
    <mergeCell ref="B22:BG22"/>
    <mergeCell ref="B23:BG23"/>
    <mergeCell ref="B24:BG24"/>
    <mergeCell ref="B26:BG26"/>
    <mergeCell ref="B27:M27"/>
    <mergeCell ref="N27:BG27"/>
    <mergeCell ref="B28:M28"/>
    <mergeCell ref="N28:BG28"/>
    <mergeCell ref="B29:M29"/>
    <mergeCell ref="N29:BG29"/>
    <mergeCell ref="B30:M30"/>
    <mergeCell ref="N30:BG30"/>
    <mergeCell ref="B31:M31"/>
    <mergeCell ref="N31:BG31"/>
    <mergeCell ref="B32:M32"/>
    <mergeCell ref="N32:BG32"/>
    <mergeCell ref="B34:B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O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G53" activeCellId="0" sqref="G53"/>
    </sheetView>
  </sheetViews>
  <sheetFormatPr defaultColWidth="12.66796875" defaultRowHeight="15.75" zeroHeight="false" outlineLevelRow="0" outlineLevelCol="0"/>
  <cols>
    <col collapsed="false" customWidth="true" hidden="false" outlineLevel="0" max="2" min="1" style="19" width="20"/>
    <col collapsed="false" customWidth="true" hidden="false" outlineLevel="0" max="15" min="3" style="19" width="18"/>
    <col collapsed="false" customWidth="true" hidden="false" outlineLevel="0" max="21" min="16" style="19" width="18.88"/>
  </cols>
  <sheetData>
    <row r="1" customFormat="false" ht="69.75" hidden="false" customHeight="true" outlineLevel="0" collapsed="false">
      <c r="A1" s="20" t="s">
        <v>47</v>
      </c>
      <c r="B1" s="20" t="s">
        <v>48</v>
      </c>
      <c r="C1" s="20" t="s">
        <v>49</v>
      </c>
      <c r="D1" s="20" t="s">
        <v>50</v>
      </c>
      <c r="E1" s="20" t="s">
        <v>51</v>
      </c>
      <c r="F1" s="20" t="s">
        <v>52</v>
      </c>
      <c r="G1" s="20" t="s">
        <v>53</v>
      </c>
      <c r="H1" s="20" t="s">
        <v>54</v>
      </c>
      <c r="I1" s="20" t="s">
        <v>55</v>
      </c>
      <c r="J1" s="20" t="s">
        <v>56</v>
      </c>
      <c r="K1" s="20" t="s">
        <v>57</v>
      </c>
      <c r="L1" s="20" t="s">
        <v>58</v>
      </c>
      <c r="M1" s="20" t="s">
        <v>59</v>
      </c>
      <c r="N1" s="20" t="s">
        <v>60</v>
      </c>
      <c r="O1" s="20" t="s">
        <v>61</v>
      </c>
    </row>
    <row r="2" customFormat="false" ht="22.5" hidden="false" customHeight="true" outlineLevel="0" collapsed="false">
      <c r="A2" s="21" t="n">
        <v>46293.6240765046</v>
      </c>
      <c r="B2" s="22" t="s">
        <v>62</v>
      </c>
      <c r="C2" s="22" t="s">
        <v>63</v>
      </c>
      <c r="D2" s="22" t="s">
        <v>64</v>
      </c>
      <c r="E2" s="22" t="s">
        <v>65</v>
      </c>
      <c r="F2" s="23" t="s">
        <v>66</v>
      </c>
      <c r="G2" s="22" t="s">
        <v>67</v>
      </c>
      <c r="H2" s="22" t="n">
        <v>2</v>
      </c>
      <c r="I2" s="22" t="n">
        <v>5</v>
      </c>
      <c r="J2" s="22" t="n">
        <v>3</v>
      </c>
      <c r="K2" s="22" t="n">
        <v>3</v>
      </c>
      <c r="L2" s="22" t="n">
        <v>3</v>
      </c>
      <c r="M2" s="22" t="n">
        <v>3</v>
      </c>
      <c r="N2" s="22" t="n">
        <v>5</v>
      </c>
      <c r="O2" s="22" t="n">
        <v>2</v>
      </c>
    </row>
    <row r="3" customFormat="false" ht="22.5" hidden="false" customHeight="true" outlineLevel="0" collapsed="false">
      <c r="A3" s="21" t="n">
        <v>46293.624371875</v>
      </c>
      <c r="B3" s="22" t="s">
        <v>62</v>
      </c>
      <c r="C3" s="22" t="s">
        <v>68</v>
      </c>
      <c r="D3" s="22" t="s">
        <v>64</v>
      </c>
      <c r="E3" s="22" t="s">
        <v>69</v>
      </c>
      <c r="F3" s="24" t="n">
        <v>0.78</v>
      </c>
      <c r="G3" s="22" t="s">
        <v>70</v>
      </c>
      <c r="H3" s="22" t="n">
        <v>4</v>
      </c>
      <c r="I3" s="22" t="n">
        <v>6</v>
      </c>
      <c r="J3" s="22" t="n">
        <v>2</v>
      </c>
      <c r="K3" s="22" t="n">
        <v>5</v>
      </c>
      <c r="L3" s="22" t="n">
        <v>1</v>
      </c>
      <c r="M3" s="22" t="n">
        <v>2</v>
      </c>
      <c r="N3" s="22" t="n">
        <v>4</v>
      </c>
      <c r="O3" s="22" t="n">
        <v>1</v>
      </c>
    </row>
    <row r="4" customFormat="false" ht="22.5" hidden="false" customHeight="true" outlineLevel="0" collapsed="false">
      <c r="A4" s="21" t="n">
        <v>46293.6265490741</v>
      </c>
      <c r="B4" s="22" t="s">
        <v>62</v>
      </c>
      <c r="C4" s="22" t="s">
        <v>71</v>
      </c>
      <c r="D4" s="22" t="s">
        <v>64</v>
      </c>
      <c r="E4" s="22" t="s">
        <v>65</v>
      </c>
      <c r="F4" s="24" t="n">
        <v>0.7</v>
      </c>
      <c r="G4" s="22" t="s">
        <v>72</v>
      </c>
      <c r="H4" s="22" t="n">
        <v>1</v>
      </c>
      <c r="I4" s="22" t="n">
        <v>2</v>
      </c>
      <c r="J4" s="22" t="n">
        <v>1</v>
      </c>
      <c r="K4" s="22" t="n">
        <v>3</v>
      </c>
      <c r="L4" s="22" t="n">
        <v>1</v>
      </c>
      <c r="M4" s="22" t="n">
        <v>2</v>
      </c>
      <c r="N4" s="22" t="n">
        <v>3</v>
      </c>
      <c r="O4" s="22" t="n">
        <v>2</v>
      </c>
    </row>
    <row r="5" customFormat="false" ht="22.5" hidden="false" customHeight="true" outlineLevel="0" collapsed="false">
      <c r="A5" s="21" t="n">
        <v>46293.6266811921</v>
      </c>
      <c r="B5" s="22" t="s">
        <v>62</v>
      </c>
      <c r="C5" s="22" t="s">
        <v>73</v>
      </c>
      <c r="D5" s="22" t="s">
        <v>64</v>
      </c>
      <c r="E5" s="22" t="s">
        <v>65</v>
      </c>
      <c r="F5" s="24" t="n">
        <v>0.87</v>
      </c>
      <c r="G5" s="22" t="s">
        <v>74</v>
      </c>
      <c r="H5" s="22" t="n">
        <v>5</v>
      </c>
      <c r="I5" s="22" t="n">
        <v>6</v>
      </c>
      <c r="J5" s="22" t="n">
        <v>6</v>
      </c>
      <c r="K5" s="22" t="n">
        <v>6</v>
      </c>
      <c r="L5" s="22" t="n">
        <v>5</v>
      </c>
      <c r="M5" s="22" t="n">
        <v>4</v>
      </c>
      <c r="N5" s="22" t="n">
        <v>6</v>
      </c>
      <c r="O5" s="22" t="n">
        <v>4</v>
      </c>
    </row>
    <row r="6" customFormat="false" ht="22.5" hidden="false" customHeight="true" outlineLevel="0" collapsed="false">
      <c r="A6" s="21" t="n">
        <v>46293.6315428472</v>
      </c>
      <c r="B6" s="22" t="s">
        <v>62</v>
      </c>
      <c r="C6" s="22" t="s">
        <v>75</v>
      </c>
      <c r="D6" s="22" t="s">
        <v>76</v>
      </c>
      <c r="E6" s="22" t="s">
        <v>77</v>
      </c>
      <c r="F6" s="23" t="s">
        <v>78</v>
      </c>
      <c r="G6" s="22" t="s">
        <v>79</v>
      </c>
      <c r="H6" s="22" t="n">
        <v>5</v>
      </c>
      <c r="I6" s="22" t="n">
        <v>4</v>
      </c>
      <c r="J6" s="22" t="n">
        <v>3</v>
      </c>
      <c r="K6" s="22" t="n">
        <v>5</v>
      </c>
      <c r="L6" s="22" t="n">
        <v>5</v>
      </c>
      <c r="M6" s="22" t="n">
        <v>4</v>
      </c>
      <c r="N6" s="22" t="n">
        <v>4</v>
      </c>
      <c r="O6" s="22" t="n">
        <v>6</v>
      </c>
    </row>
    <row r="7" customFormat="false" ht="22.5" hidden="false" customHeight="true" outlineLevel="0" collapsed="false">
      <c r="A7" s="21" t="n">
        <v>46293.6327815625</v>
      </c>
      <c r="B7" s="22" t="s">
        <v>80</v>
      </c>
      <c r="C7" s="22" t="s">
        <v>71</v>
      </c>
      <c r="D7" s="22" t="s">
        <v>76</v>
      </c>
      <c r="E7" s="22" t="s">
        <v>81</v>
      </c>
      <c r="F7" s="23" t="s">
        <v>82</v>
      </c>
      <c r="G7" s="22" t="s">
        <v>74</v>
      </c>
      <c r="H7" s="22" t="n">
        <v>4</v>
      </c>
      <c r="I7" s="22" t="n">
        <v>4</v>
      </c>
      <c r="J7" s="22" t="n">
        <v>2</v>
      </c>
      <c r="K7" s="22" t="n">
        <v>4</v>
      </c>
      <c r="L7" s="22" t="n">
        <v>3</v>
      </c>
      <c r="M7" s="22" t="n">
        <v>3</v>
      </c>
      <c r="N7" s="22" t="n">
        <v>2</v>
      </c>
      <c r="O7" s="22" t="n">
        <v>4</v>
      </c>
    </row>
    <row r="8" customFormat="false" ht="22.5" hidden="false" customHeight="true" outlineLevel="0" collapsed="false">
      <c r="A8" s="21" t="n">
        <v>46293.6343279282</v>
      </c>
      <c r="B8" s="22" t="s">
        <v>62</v>
      </c>
      <c r="C8" s="22" t="s">
        <v>83</v>
      </c>
      <c r="D8" s="22" t="s">
        <v>76</v>
      </c>
      <c r="E8" s="22" t="s">
        <v>81</v>
      </c>
      <c r="F8" s="24" t="n">
        <v>0.43</v>
      </c>
      <c r="G8" s="22" t="s">
        <v>84</v>
      </c>
      <c r="H8" s="22" t="n">
        <v>4</v>
      </c>
      <c r="I8" s="22" t="n">
        <v>4</v>
      </c>
      <c r="J8" s="22" t="n">
        <v>3</v>
      </c>
      <c r="K8" s="22" t="n">
        <v>4</v>
      </c>
      <c r="L8" s="22" t="n">
        <v>5</v>
      </c>
      <c r="M8" s="22" t="n">
        <v>3</v>
      </c>
      <c r="N8" s="22" t="n">
        <v>3</v>
      </c>
      <c r="O8" s="22" t="n">
        <v>5</v>
      </c>
    </row>
    <row r="9" customFormat="false" ht="22.5" hidden="false" customHeight="true" outlineLevel="0" collapsed="false">
      <c r="A9" s="21" t="n">
        <v>46293.634374456</v>
      </c>
      <c r="B9" s="22" t="s">
        <v>62</v>
      </c>
      <c r="C9" s="22" t="s">
        <v>68</v>
      </c>
      <c r="D9" s="22" t="s">
        <v>64</v>
      </c>
      <c r="E9" s="22" t="s">
        <v>85</v>
      </c>
      <c r="F9" s="23" t="s">
        <v>86</v>
      </c>
      <c r="G9" s="22" t="s">
        <v>70</v>
      </c>
      <c r="H9" s="22" t="n">
        <v>3</v>
      </c>
      <c r="I9" s="22" t="n">
        <v>4</v>
      </c>
      <c r="J9" s="22" t="n">
        <v>2</v>
      </c>
      <c r="K9" s="22" t="n">
        <v>4</v>
      </c>
      <c r="L9" s="22" t="n">
        <v>3</v>
      </c>
      <c r="M9" s="22" t="n">
        <v>2</v>
      </c>
      <c r="N9" s="22" t="n">
        <v>5</v>
      </c>
      <c r="O9" s="22" t="n">
        <v>4</v>
      </c>
    </row>
    <row r="10" customFormat="false" ht="22.5" hidden="false" customHeight="true" outlineLevel="0" collapsed="false">
      <c r="A10" s="21" t="n">
        <v>46293.6348571412</v>
      </c>
      <c r="B10" s="22" t="s">
        <v>62</v>
      </c>
      <c r="C10" s="22" t="s">
        <v>87</v>
      </c>
      <c r="D10" s="22" t="s">
        <v>76</v>
      </c>
      <c r="E10" s="22" t="s">
        <v>81</v>
      </c>
      <c r="F10" s="24" t="n">
        <v>0.6</v>
      </c>
      <c r="G10" s="22" t="s">
        <v>72</v>
      </c>
      <c r="H10" s="22" t="n">
        <v>3</v>
      </c>
      <c r="I10" s="22" t="n">
        <v>3</v>
      </c>
      <c r="J10" s="22" t="n">
        <v>2</v>
      </c>
      <c r="K10" s="22" t="n">
        <v>4</v>
      </c>
      <c r="L10" s="22" t="n">
        <v>4</v>
      </c>
      <c r="M10" s="22" t="n">
        <v>3</v>
      </c>
      <c r="N10" s="22" t="n">
        <v>5</v>
      </c>
      <c r="O10" s="22" t="n">
        <v>4</v>
      </c>
    </row>
    <row r="11" customFormat="false" ht="22.5" hidden="false" customHeight="true" outlineLevel="0" collapsed="false">
      <c r="A11" s="21" t="n">
        <v>46293.6359984144</v>
      </c>
      <c r="B11" s="22" t="s">
        <v>62</v>
      </c>
      <c r="C11" s="22" t="s">
        <v>63</v>
      </c>
      <c r="D11" s="22" t="s">
        <v>64</v>
      </c>
      <c r="E11" s="22" t="s">
        <v>85</v>
      </c>
      <c r="F11" s="24" t="n">
        <v>0.64</v>
      </c>
      <c r="G11" s="22" t="s">
        <v>72</v>
      </c>
      <c r="H11" s="22" t="n">
        <v>5</v>
      </c>
      <c r="I11" s="22" t="n">
        <v>6</v>
      </c>
      <c r="J11" s="22" t="n">
        <v>5</v>
      </c>
      <c r="K11" s="22" t="n">
        <v>6</v>
      </c>
      <c r="L11" s="22" t="n">
        <v>2</v>
      </c>
      <c r="M11" s="22" t="n">
        <v>5</v>
      </c>
      <c r="N11" s="22" t="n">
        <v>6</v>
      </c>
      <c r="O11" s="22" t="n">
        <v>6</v>
      </c>
    </row>
    <row r="12" customFormat="false" ht="22.5" hidden="false" customHeight="true" outlineLevel="0" collapsed="false">
      <c r="A12" s="21" t="n">
        <v>46293.6366841667</v>
      </c>
      <c r="B12" s="22" t="s">
        <v>80</v>
      </c>
      <c r="C12" s="22" t="s">
        <v>71</v>
      </c>
      <c r="D12" s="22" t="s">
        <v>64</v>
      </c>
      <c r="E12" s="22" t="s">
        <v>85</v>
      </c>
      <c r="F12" s="23" t="s">
        <v>88</v>
      </c>
      <c r="G12" s="22" t="s">
        <v>67</v>
      </c>
      <c r="H12" s="22" t="n">
        <v>2</v>
      </c>
      <c r="I12" s="22" t="n">
        <v>5</v>
      </c>
      <c r="J12" s="22" t="n">
        <v>5</v>
      </c>
      <c r="K12" s="22" t="n">
        <v>5</v>
      </c>
      <c r="L12" s="22" t="n">
        <v>5</v>
      </c>
      <c r="M12" s="22" t="n">
        <v>5</v>
      </c>
      <c r="N12" s="22" t="n">
        <v>5</v>
      </c>
      <c r="O12" s="22" t="n">
        <v>5</v>
      </c>
    </row>
    <row r="13" customFormat="false" ht="22.5" hidden="false" customHeight="true" outlineLevel="0" collapsed="false">
      <c r="A13" s="21" t="n">
        <v>46293.6377606482</v>
      </c>
      <c r="B13" s="22" t="s">
        <v>62</v>
      </c>
      <c r="C13" s="22" t="s">
        <v>87</v>
      </c>
      <c r="D13" s="22" t="s">
        <v>89</v>
      </c>
      <c r="E13" s="22" t="s">
        <v>90</v>
      </c>
      <c r="F13" s="24" t="n">
        <v>0.68</v>
      </c>
      <c r="G13" s="22" t="s">
        <v>67</v>
      </c>
      <c r="H13" s="22" t="n">
        <v>3</v>
      </c>
      <c r="I13" s="22" t="n">
        <v>4</v>
      </c>
      <c r="J13" s="22" t="n">
        <v>3</v>
      </c>
      <c r="K13" s="22" t="n">
        <v>5</v>
      </c>
      <c r="L13" s="22" t="n">
        <v>4</v>
      </c>
      <c r="M13" s="22" t="n">
        <v>3</v>
      </c>
      <c r="N13" s="22" t="n">
        <v>3</v>
      </c>
      <c r="O13" s="22" t="n">
        <v>4</v>
      </c>
    </row>
    <row r="14" customFormat="false" ht="22.5" hidden="false" customHeight="true" outlineLevel="0" collapsed="false">
      <c r="A14" s="21" t="n">
        <v>46293.6409489583</v>
      </c>
      <c r="B14" s="22" t="s">
        <v>62</v>
      </c>
      <c r="C14" s="22" t="s">
        <v>63</v>
      </c>
      <c r="D14" s="22" t="s">
        <v>64</v>
      </c>
      <c r="E14" s="22" t="s">
        <v>91</v>
      </c>
      <c r="F14" s="24" t="n">
        <v>0.5</v>
      </c>
      <c r="G14" s="22" t="s">
        <v>67</v>
      </c>
      <c r="H14" s="22" t="n">
        <v>6</v>
      </c>
      <c r="I14" s="22" t="n">
        <v>4</v>
      </c>
      <c r="J14" s="22" t="n">
        <v>6</v>
      </c>
      <c r="K14" s="22" t="n">
        <v>6</v>
      </c>
      <c r="L14" s="22" t="n">
        <v>6</v>
      </c>
      <c r="M14" s="22" t="n">
        <v>6</v>
      </c>
      <c r="N14" s="22" t="n">
        <v>6</v>
      </c>
      <c r="O14" s="22" t="n">
        <v>1</v>
      </c>
    </row>
    <row r="15" customFormat="false" ht="22.5" hidden="false" customHeight="true" outlineLevel="0" collapsed="false">
      <c r="A15" s="21" t="n">
        <v>46293.6416352431</v>
      </c>
      <c r="B15" s="22" t="s">
        <v>62</v>
      </c>
      <c r="C15" s="22" t="s">
        <v>63</v>
      </c>
      <c r="D15" s="22" t="s">
        <v>92</v>
      </c>
      <c r="E15" s="22" t="s">
        <v>93</v>
      </c>
      <c r="F15" s="24" t="n">
        <v>0.7</v>
      </c>
      <c r="G15" s="22" t="s">
        <v>74</v>
      </c>
      <c r="H15" s="22" t="n">
        <v>5</v>
      </c>
      <c r="I15" s="22" t="n">
        <v>6</v>
      </c>
      <c r="J15" s="22" t="n">
        <v>6</v>
      </c>
      <c r="K15" s="22" t="n">
        <v>6</v>
      </c>
      <c r="L15" s="22" t="n">
        <v>6</v>
      </c>
      <c r="M15" s="22" t="n">
        <v>6</v>
      </c>
      <c r="N15" s="22" t="n">
        <v>6</v>
      </c>
      <c r="O15" s="22" t="n">
        <v>1</v>
      </c>
    </row>
    <row r="16" customFormat="false" ht="22.5" hidden="false" customHeight="true" outlineLevel="0" collapsed="false">
      <c r="A16" s="21" t="n">
        <v>46293.6458968171</v>
      </c>
      <c r="B16" s="22" t="s">
        <v>62</v>
      </c>
      <c r="C16" s="22" t="s">
        <v>63</v>
      </c>
      <c r="D16" s="22" t="s">
        <v>76</v>
      </c>
      <c r="E16" s="22" t="s">
        <v>94</v>
      </c>
      <c r="F16" s="24" t="n">
        <v>0.67</v>
      </c>
      <c r="G16" s="22" t="s">
        <v>79</v>
      </c>
      <c r="H16" s="22" t="n">
        <v>4</v>
      </c>
      <c r="I16" s="22" t="n">
        <v>5</v>
      </c>
      <c r="J16" s="22" t="n">
        <v>3</v>
      </c>
      <c r="K16" s="22" t="n">
        <v>6</v>
      </c>
      <c r="L16" s="22" t="n">
        <v>4</v>
      </c>
      <c r="M16" s="22" t="n">
        <v>5</v>
      </c>
      <c r="N16" s="22" t="n">
        <v>5</v>
      </c>
      <c r="O16" s="22" t="n">
        <v>5</v>
      </c>
    </row>
    <row r="17" customFormat="false" ht="22.5" hidden="false" customHeight="true" outlineLevel="0" collapsed="false">
      <c r="A17" s="21" t="n">
        <v>46293.6462463889</v>
      </c>
      <c r="B17" s="22" t="s">
        <v>95</v>
      </c>
      <c r="C17" s="22" t="s">
        <v>96</v>
      </c>
      <c r="D17" s="22" t="s">
        <v>97</v>
      </c>
      <c r="E17" s="22" t="s">
        <v>98</v>
      </c>
      <c r="F17" s="23" t="s">
        <v>99</v>
      </c>
      <c r="G17" s="22" t="s">
        <v>74</v>
      </c>
      <c r="H17" s="22" t="n">
        <v>3</v>
      </c>
      <c r="I17" s="22" t="n">
        <v>4</v>
      </c>
      <c r="J17" s="22" t="n">
        <v>5</v>
      </c>
      <c r="K17" s="22" t="n">
        <v>6</v>
      </c>
      <c r="L17" s="22" t="n">
        <v>2</v>
      </c>
      <c r="M17" s="22" t="n">
        <v>4</v>
      </c>
      <c r="N17" s="22" t="n">
        <v>5</v>
      </c>
      <c r="O17" s="22" t="n">
        <v>6</v>
      </c>
    </row>
    <row r="18" customFormat="false" ht="22.5" hidden="false" customHeight="true" outlineLevel="0" collapsed="false">
      <c r="A18" s="21" t="n">
        <v>46293.6486523148</v>
      </c>
      <c r="B18" s="22" t="s">
        <v>62</v>
      </c>
      <c r="C18" s="22" t="s">
        <v>71</v>
      </c>
      <c r="D18" s="22" t="s">
        <v>76</v>
      </c>
      <c r="E18" s="22" t="s">
        <v>100</v>
      </c>
      <c r="F18" s="23" t="s">
        <v>101</v>
      </c>
      <c r="G18" s="22" t="s">
        <v>74</v>
      </c>
      <c r="H18" s="22" t="n">
        <v>6</v>
      </c>
      <c r="I18" s="22" t="n">
        <v>6</v>
      </c>
      <c r="J18" s="22" t="n">
        <v>5</v>
      </c>
      <c r="K18" s="22" t="n">
        <v>4</v>
      </c>
      <c r="L18" s="22" t="n">
        <v>5</v>
      </c>
      <c r="M18" s="22" t="n">
        <v>5</v>
      </c>
      <c r="N18" s="22" t="n">
        <v>5</v>
      </c>
      <c r="O18" s="22" t="n">
        <v>4</v>
      </c>
    </row>
    <row r="19" customFormat="false" ht="22.5" hidden="false" customHeight="true" outlineLevel="0" collapsed="false">
      <c r="A19" s="21" t="n">
        <v>46293.6494483102</v>
      </c>
      <c r="B19" s="22" t="s">
        <v>80</v>
      </c>
      <c r="C19" s="22" t="s">
        <v>73</v>
      </c>
      <c r="D19" s="22" t="s">
        <v>76</v>
      </c>
      <c r="E19" s="22" t="s">
        <v>102</v>
      </c>
      <c r="F19" s="23" t="s">
        <v>103</v>
      </c>
      <c r="G19" s="22" t="s">
        <v>67</v>
      </c>
      <c r="H19" s="22" t="n">
        <v>3</v>
      </c>
      <c r="I19" s="22" t="n">
        <v>2</v>
      </c>
      <c r="J19" s="22" t="n">
        <v>3</v>
      </c>
      <c r="K19" s="22" t="n">
        <v>4</v>
      </c>
      <c r="L19" s="22" t="n">
        <v>3</v>
      </c>
      <c r="M19" s="22" t="n">
        <v>4</v>
      </c>
      <c r="N19" s="22" t="n">
        <v>2</v>
      </c>
      <c r="O19" s="22" t="n">
        <v>1</v>
      </c>
    </row>
    <row r="20" customFormat="false" ht="22.5" hidden="false" customHeight="true" outlineLevel="0" collapsed="false">
      <c r="A20" s="21" t="n">
        <v>46293.6506568403</v>
      </c>
      <c r="B20" s="22" t="s">
        <v>62</v>
      </c>
      <c r="C20" s="22" t="s">
        <v>71</v>
      </c>
      <c r="D20" s="22" t="s">
        <v>64</v>
      </c>
      <c r="E20" s="22" t="s">
        <v>98</v>
      </c>
      <c r="F20" s="24" t="n">
        <v>0.64</v>
      </c>
      <c r="G20" s="22" t="s">
        <v>72</v>
      </c>
      <c r="H20" s="22" t="n">
        <v>4</v>
      </c>
      <c r="I20" s="22" t="n">
        <v>5</v>
      </c>
      <c r="J20" s="22" t="n">
        <v>4</v>
      </c>
      <c r="K20" s="22" t="n">
        <v>4</v>
      </c>
      <c r="L20" s="22" t="n">
        <v>3</v>
      </c>
      <c r="M20" s="22" t="n">
        <v>5</v>
      </c>
      <c r="N20" s="22" t="n">
        <v>5</v>
      </c>
      <c r="O20" s="22" t="n">
        <v>2</v>
      </c>
    </row>
    <row r="21" customFormat="false" ht="22.5" hidden="false" customHeight="true" outlineLevel="0" collapsed="false">
      <c r="A21" s="21" t="n">
        <v>46293.651335787</v>
      </c>
      <c r="B21" s="22" t="s">
        <v>95</v>
      </c>
      <c r="C21" s="22" t="s">
        <v>87</v>
      </c>
      <c r="D21" s="22" t="s">
        <v>92</v>
      </c>
      <c r="E21" s="22" t="s">
        <v>104</v>
      </c>
      <c r="F21" s="23" t="s">
        <v>105</v>
      </c>
      <c r="G21" s="22" t="s">
        <v>74</v>
      </c>
      <c r="H21" s="22" t="n">
        <v>6</v>
      </c>
      <c r="I21" s="22" t="n">
        <v>4</v>
      </c>
      <c r="J21" s="22" t="n">
        <v>2</v>
      </c>
      <c r="K21" s="22" t="n">
        <v>1</v>
      </c>
      <c r="L21" s="22" t="n">
        <v>3</v>
      </c>
      <c r="M21" s="22" t="n">
        <v>1</v>
      </c>
      <c r="N21" s="22" t="n">
        <v>6</v>
      </c>
      <c r="O21" s="22" t="n">
        <v>5</v>
      </c>
    </row>
    <row r="22" customFormat="false" ht="22.5" hidden="false" customHeight="true" outlineLevel="0" collapsed="false">
      <c r="A22" s="21" t="n">
        <v>46293.6551055556</v>
      </c>
      <c r="B22" s="22" t="s">
        <v>80</v>
      </c>
      <c r="C22" s="22" t="s">
        <v>96</v>
      </c>
      <c r="D22" s="22" t="s">
        <v>92</v>
      </c>
      <c r="E22" s="22" t="s">
        <v>106</v>
      </c>
      <c r="F22" s="24" t="n">
        <v>0.8</v>
      </c>
      <c r="G22" s="22" t="s">
        <v>79</v>
      </c>
      <c r="H22" s="22" t="n">
        <v>4</v>
      </c>
      <c r="I22" s="22" t="n">
        <v>3</v>
      </c>
      <c r="J22" s="22" t="n">
        <v>2</v>
      </c>
      <c r="K22" s="22" t="n">
        <v>4</v>
      </c>
      <c r="L22" s="22" t="n">
        <v>5</v>
      </c>
      <c r="M22" s="22" t="n">
        <v>3</v>
      </c>
      <c r="N22" s="22" t="n">
        <v>2</v>
      </c>
      <c r="O22" s="22" t="n">
        <v>1</v>
      </c>
    </row>
    <row r="23" customFormat="false" ht="22.5" hidden="false" customHeight="true" outlineLevel="0" collapsed="false">
      <c r="A23" s="21" t="n">
        <v>46293.6599063426</v>
      </c>
      <c r="B23" s="22" t="s">
        <v>80</v>
      </c>
      <c r="C23" s="22" t="s">
        <v>87</v>
      </c>
      <c r="D23" s="22" t="s">
        <v>64</v>
      </c>
      <c r="E23" s="22" t="s">
        <v>85</v>
      </c>
      <c r="F23" s="24" t="n">
        <v>0.67</v>
      </c>
      <c r="G23" s="22" t="s">
        <v>72</v>
      </c>
      <c r="H23" s="22" t="n">
        <v>4</v>
      </c>
      <c r="I23" s="22" t="n">
        <v>2</v>
      </c>
      <c r="J23" s="22" t="n">
        <v>3</v>
      </c>
      <c r="K23" s="22" t="n">
        <v>4</v>
      </c>
      <c r="L23" s="22" t="n">
        <v>3</v>
      </c>
      <c r="M23" s="22" t="n">
        <v>3</v>
      </c>
      <c r="N23" s="22" t="n">
        <v>2</v>
      </c>
      <c r="O23" s="22" t="n">
        <v>4</v>
      </c>
    </row>
    <row r="24" customFormat="false" ht="22.5" hidden="false" customHeight="true" outlineLevel="0" collapsed="false">
      <c r="A24" s="21" t="n">
        <v>46293.6603831019</v>
      </c>
      <c r="B24" s="22" t="s">
        <v>62</v>
      </c>
      <c r="C24" s="22" t="s">
        <v>73</v>
      </c>
      <c r="D24" s="22" t="s">
        <v>97</v>
      </c>
      <c r="E24" s="22" t="s">
        <v>65</v>
      </c>
      <c r="F24" s="23" t="s">
        <v>107</v>
      </c>
      <c r="G24" s="22" t="s">
        <v>67</v>
      </c>
      <c r="H24" s="22" t="n">
        <v>3</v>
      </c>
      <c r="I24" s="22" t="n">
        <v>2</v>
      </c>
      <c r="J24" s="22" t="n">
        <v>2</v>
      </c>
      <c r="K24" s="22" t="n">
        <v>3</v>
      </c>
      <c r="L24" s="22" t="n">
        <v>1</v>
      </c>
      <c r="M24" s="22" t="n">
        <v>1</v>
      </c>
      <c r="N24" s="22" t="n">
        <v>2</v>
      </c>
      <c r="O24" s="22" t="n">
        <v>2</v>
      </c>
    </row>
    <row r="25" customFormat="false" ht="22.5" hidden="false" customHeight="true" outlineLevel="0" collapsed="false">
      <c r="A25" s="21" t="n">
        <v>46293.6640061921</v>
      </c>
      <c r="B25" s="22" t="s">
        <v>62</v>
      </c>
      <c r="C25" s="22" t="s">
        <v>68</v>
      </c>
      <c r="D25" s="22" t="s">
        <v>64</v>
      </c>
      <c r="E25" s="22" t="s">
        <v>108</v>
      </c>
      <c r="F25" s="24" t="n">
        <v>0.65</v>
      </c>
      <c r="G25" s="22" t="s">
        <v>70</v>
      </c>
      <c r="H25" s="22" t="n">
        <v>4</v>
      </c>
      <c r="I25" s="22" t="n">
        <v>2</v>
      </c>
      <c r="J25" s="22" t="n">
        <v>2</v>
      </c>
      <c r="K25" s="22" t="n">
        <v>2</v>
      </c>
      <c r="L25" s="22" t="n">
        <v>1</v>
      </c>
      <c r="M25" s="22" t="n">
        <v>3</v>
      </c>
      <c r="N25" s="22" t="n">
        <v>2</v>
      </c>
      <c r="O25" s="22" t="n">
        <v>1</v>
      </c>
    </row>
    <row r="26" customFormat="false" ht="22.5" hidden="false" customHeight="true" outlineLevel="0" collapsed="false">
      <c r="A26" s="21" t="n">
        <v>46293.6683623843</v>
      </c>
      <c r="B26" s="22" t="s">
        <v>80</v>
      </c>
      <c r="C26" s="22" t="s">
        <v>87</v>
      </c>
      <c r="D26" s="22" t="s">
        <v>97</v>
      </c>
      <c r="E26" s="22" t="s">
        <v>85</v>
      </c>
      <c r="F26" s="24" t="n">
        <v>0.7</v>
      </c>
      <c r="G26" s="22" t="s">
        <v>79</v>
      </c>
      <c r="H26" s="22" t="n">
        <v>4</v>
      </c>
      <c r="I26" s="22" t="n">
        <v>4</v>
      </c>
      <c r="J26" s="22" t="n">
        <v>5</v>
      </c>
      <c r="K26" s="22" t="n">
        <v>5</v>
      </c>
      <c r="L26" s="22" t="n">
        <v>3</v>
      </c>
      <c r="M26" s="22" t="n">
        <v>4</v>
      </c>
      <c r="N26" s="22" t="n">
        <v>4</v>
      </c>
      <c r="O26" s="22" t="n">
        <v>4</v>
      </c>
    </row>
    <row r="27" customFormat="false" ht="22.5" hidden="false" customHeight="true" outlineLevel="0" collapsed="false">
      <c r="A27" s="21" t="n">
        <v>46293.6684488194</v>
      </c>
      <c r="B27" s="22" t="s">
        <v>80</v>
      </c>
      <c r="C27" s="22" t="s">
        <v>87</v>
      </c>
      <c r="D27" s="22" t="s">
        <v>97</v>
      </c>
      <c r="E27" s="22" t="s">
        <v>109</v>
      </c>
      <c r="F27" s="24" t="n">
        <v>0.63</v>
      </c>
      <c r="G27" s="22" t="s">
        <v>72</v>
      </c>
      <c r="H27" s="22" t="n">
        <v>1</v>
      </c>
      <c r="I27" s="22" t="n">
        <v>4</v>
      </c>
      <c r="J27" s="22" t="n">
        <v>3</v>
      </c>
      <c r="K27" s="22" t="n">
        <v>4</v>
      </c>
      <c r="L27" s="22" t="n">
        <v>5</v>
      </c>
      <c r="M27" s="22" t="n">
        <v>6</v>
      </c>
      <c r="N27" s="22" t="n">
        <v>3</v>
      </c>
      <c r="O27" s="22" t="n">
        <v>3</v>
      </c>
    </row>
    <row r="28" customFormat="false" ht="22.5" hidden="false" customHeight="true" outlineLevel="0" collapsed="false">
      <c r="A28" s="21" t="n">
        <v>46293.6718676852</v>
      </c>
      <c r="B28" s="22" t="s">
        <v>80</v>
      </c>
      <c r="C28" s="22" t="s">
        <v>63</v>
      </c>
      <c r="D28" s="22" t="s">
        <v>97</v>
      </c>
      <c r="E28" s="22" t="s">
        <v>85</v>
      </c>
      <c r="F28" s="24" t="n">
        <v>0.7</v>
      </c>
      <c r="G28" s="22" t="s">
        <v>74</v>
      </c>
      <c r="H28" s="22" t="n">
        <v>6</v>
      </c>
      <c r="I28" s="22" t="n">
        <v>6</v>
      </c>
      <c r="J28" s="22" t="n">
        <v>6</v>
      </c>
      <c r="K28" s="22" t="n">
        <v>5</v>
      </c>
      <c r="L28" s="22" t="n">
        <v>6</v>
      </c>
      <c r="M28" s="22" t="n">
        <v>6</v>
      </c>
      <c r="N28" s="22" t="n">
        <v>6</v>
      </c>
      <c r="O28" s="22" t="n">
        <v>6</v>
      </c>
    </row>
    <row r="29" customFormat="false" ht="22.5" hidden="false" customHeight="true" outlineLevel="0" collapsed="false">
      <c r="A29" s="21" t="n">
        <v>46293.6720651736</v>
      </c>
      <c r="B29" s="22" t="s">
        <v>62</v>
      </c>
      <c r="C29" s="22" t="s">
        <v>63</v>
      </c>
      <c r="D29" s="22" t="s">
        <v>64</v>
      </c>
      <c r="E29" s="22" t="s">
        <v>65</v>
      </c>
      <c r="F29" s="24" t="n">
        <v>0.7</v>
      </c>
      <c r="G29" s="22" t="s">
        <v>74</v>
      </c>
      <c r="H29" s="22" t="n">
        <v>4</v>
      </c>
      <c r="I29" s="22" t="n">
        <v>6</v>
      </c>
      <c r="J29" s="22" t="n">
        <v>5</v>
      </c>
      <c r="K29" s="22" t="n">
        <v>6</v>
      </c>
      <c r="L29" s="22" t="n">
        <v>5</v>
      </c>
      <c r="M29" s="22" t="n">
        <v>6</v>
      </c>
      <c r="N29" s="22" t="n">
        <v>6</v>
      </c>
      <c r="O29" s="22" t="n">
        <v>6</v>
      </c>
    </row>
    <row r="30" customFormat="false" ht="22.5" hidden="false" customHeight="true" outlineLevel="0" collapsed="false">
      <c r="A30" s="21" t="n">
        <v>46293.6856097917</v>
      </c>
      <c r="B30" s="22" t="s">
        <v>95</v>
      </c>
      <c r="C30" s="22" t="s">
        <v>110</v>
      </c>
      <c r="D30" s="22" t="s">
        <v>64</v>
      </c>
      <c r="E30" s="22" t="s">
        <v>111</v>
      </c>
      <c r="F30" s="23" t="s">
        <v>112</v>
      </c>
      <c r="G30" s="22" t="s">
        <v>74</v>
      </c>
      <c r="H30" s="22" t="n">
        <v>3</v>
      </c>
      <c r="I30" s="22" t="n">
        <v>4</v>
      </c>
      <c r="J30" s="22" t="n">
        <v>3</v>
      </c>
      <c r="K30" s="22" t="n">
        <v>4</v>
      </c>
      <c r="L30" s="22" t="n">
        <v>3</v>
      </c>
      <c r="M30" s="22" t="n">
        <v>4</v>
      </c>
      <c r="N30" s="22" t="n">
        <v>3</v>
      </c>
      <c r="O30" s="22" t="n">
        <v>4</v>
      </c>
    </row>
    <row r="31" customFormat="false" ht="22.5" hidden="false" customHeight="true" outlineLevel="0" collapsed="false">
      <c r="A31" s="21" t="n">
        <v>46293.7006271412</v>
      </c>
      <c r="B31" s="22" t="s">
        <v>95</v>
      </c>
      <c r="C31" s="22" t="s">
        <v>96</v>
      </c>
      <c r="D31" s="22" t="s">
        <v>76</v>
      </c>
      <c r="E31" s="22" t="s">
        <v>81</v>
      </c>
      <c r="F31" s="24" t="n">
        <v>0.8</v>
      </c>
      <c r="G31" s="22" t="s">
        <v>72</v>
      </c>
      <c r="H31" s="22" t="n">
        <v>4</v>
      </c>
      <c r="I31" s="22" t="n">
        <v>4</v>
      </c>
      <c r="J31" s="22" t="n">
        <v>1</v>
      </c>
      <c r="K31" s="22" t="n">
        <v>4</v>
      </c>
      <c r="L31" s="22" t="n">
        <v>2</v>
      </c>
      <c r="M31" s="22" t="n">
        <v>2</v>
      </c>
      <c r="N31" s="22" t="n">
        <v>2</v>
      </c>
      <c r="O31" s="22" t="n">
        <v>2</v>
      </c>
    </row>
    <row r="32" customFormat="false" ht="22.5" hidden="false" customHeight="true" outlineLevel="0" collapsed="false">
      <c r="A32" s="21" t="n">
        <v>46293.7201228125</v>
      </c>
      <c r="B32" s="22" t="s">
        <v>80</v>
      </c>
      <c r="C32" s="22" t="s">
        <v>63</v>
      </c>
      <c r="D32" s="22" t="s">
        <v>64</v>
      </c>
      <c r="E32" s="22" t="s">
        <v>106</v>
      </c>
      <c r="F32" s="23" t="s">
        <v>113</v>
      </c>
      <c r="G32" s="22" t="s">
        <v>72</v>
      </c>
      <c r="H32" s="22" t="n">
        <v>3</v>
      </c>
      <c r="I32" s="22" t="n">
        <v>5</v>
      </c>
      <c r="J32" s="22" t="n">
        <v>6</v>
      </c>
      <c r="K32" s="22" t="n">
        <v>5</v>
      </c>
      <c r="L32" s="22" t="n">
        <v>6</v>
      </c>
      <c r="M32" s="22" t="n">
        <v>5</v>
      </c>
      <c r="N32" s="22" t="n">
        <v>6</v>
      </c>
      <c r="O32" s="22" t="n">
        <v>6</v>
      </c>
    </row>
    <row r="33" customFormat="false" ht="22.5" hidden="false" customHeight="true" outlineLevel="0" collapsed="false">
      <c r="A33" s="21" t="n">
        <v>46293.7208744097</v>
      </c>
      <c r="B33" s="22" t="s">
        <v>62</v>
      </c>
      <c r="C33" s="22" t="s">
        <v>63</v>
      </c>
      <c r="D33" s="22" t="s">
        <v>64</v>
      </c>
      <c r="E33" s="22" t="s">
        <v>114</v>
      </c>
      <c r="F33" s="24" t="n">
        <v>0.78</v>
      </c>
      <c r="G33" s="22" t="s">
        <v>74</v>
      </c>
      <c r="H33" s="22" t="n">
        <v>3</v>
      </c>
      <c r="I33" s="22" t="n">
        <v>5</v>
      </c>
      <c r="J33" s="22" t="n">
        <v>4</v>
      </c>
      <c r="K33" s="22" t="n">
        <v>3</v>
      </c>
      <c r="L33" s="22" t="n">
        <v>5</v>
      </c>
      <c r="M33" s="22" t="n">
        <v>4</v>
      </c>
      <c r="N33" s="22" t="n">
        <v>5</v>
      </c>
      <c r="O33" s="22" t="n">
        <v>2</v>
      </c>
    </row>
    <row r="34" customFormat="false" ht="22.5" hidden="false" customHeight="true" outlineLevel="0" collapsed="false">
      <c r="A34" s="21" t="n">
        <v>46293.721628287</v>
      </c>
      <c r="B34" s="22" t="s">
        <v>115</v>
      </c>
      <c r="C34" s="22" t="s">
        <v>68</v>
      </c>
      <c r="D34" s="22" t="s">
        <v>92</v>
      </c>
      <c r="E34" s="22" t="s">
        <v>116</v>
      </c>
      <c r="F34" s="24" t="n">
        <v>0.9</v>
      </c>
      <c r="G34" s="22" t="s">
        <v>84</v>
      </c>
      <c r="H34" s="22" t="n">
        <v>5</v>
      </c>
      <c r="I34" s="22" t="n">
        <v>5</v>
      </c>
      <c r="J34" s="22" t="n">
        <v>4</v>
      </c>
      <c r="K34" s="22" t="n">
        <v>6</v>
      </c>
      <c r="L34" s="22" t="n">
        <v>5</v>
      </c>
      <c r="M34" s="22" t="n">
        <v>5</v>
      </c>
      <c r="N34" s="22" t="n">
        <v>3</v>
      </c>
      <c r="O34" s="22" t="n">
        <v>3</v>
      </c>
    </row>
    <row r="35" customFormat="false" ht="22.5" hidden="false" customHeight="true" outlineLevel="0" collapsed="false">
      <c r="A35" s="21" t="n">
        <v>46293.7232159144</v>
      </c>
      <c r="B35" s="22" t="s">
        <v>62</v>
      </c>
      <c r="C35" s="22" t="s">
        <v>68</v>
      </c>
      <c r="D35" s="22" t="s">
        <v>92</v>
      </c>
      <c r="E35" s="22" t="s">
        <v>65</v>
      </c>
      <c r="F35" s="24" t="n">
        <v>0.78</v>
      </c>
      <c r="G35" s="22" t="s">
        <v>84</v>
      </c>
      <c r="H35" s="22" t="n">
        <v>5</v>
      </c>
      <c r="I35" s="22" t="n">
        <v>5</v>
      </c>
      <c r="J35" s="22" t="n">
        <v>5</v>
      </c>
      <c r="K35" s="22" t="n">
        <v>5</v>
      </c>
      <c r="L35" s="22" t="n">
        <v>5</v>
      </c>
      <c r="M35" s="22" t="n">
        <v>5</v>
      </c>
      <c r="N35" s="22" t="n">
        <v>5</v>
      </c>
      <c r="O35" s="22" t="n">
        <v>4</v>
      </c>
    </row>
    <row r="36" customFormat="false" ht="22.5" hidden="false" customHeight="true" outlineLevel="0" collapsed="false">
      <c r="A36" s="21" t="n">
        <v>46293.7233686921</v>
      </c>
      <c r="B36" s="22" t="s">
        <v>95</v>
      </c>
      <c r="C36" s="22" t="s">
        <v>117</v>
      </c>
      <c r="D36" s="22" t="s">
        <v>97</v>
      </c>
      <c r="E36" s="22" t="s">
        <v>118</v>
      </c>
      <c r="F36" s="23" t="s">
        <v>119</v>
      </c>
      <c r="G36" s="22" t="s">
        <v>72</v>
      </c>
      <c r="H36" s="22" t="n">
        <v>5</v>
      </c>
      <c r="I36" s="22" t="n">
        <v>3</v>
      </c>
      <c r="J36" s="22" t="n">
        <v>3</v>
      </c>
      <c r="K36" s="22" t="n">
        <v>4</v>
      </c>
      <c r="L36" s="22" t="n">
        <v>3</v>
      </c>
      <c r="M36" s="22" t="n">
        <v>4</v>
      </c>
      <c r="N36" s="22" t="n">
        <v>4</v>
      </c>
      <c r="O36" s="22" t="n">
        <v>5</v>
      </c>
    </row>
    <row r="37" customFormat="false" ht="22.5" hidden="false" customHeight="true" outlineLevel="0" collapsed="false">
      <c r="A37" s="21" t="n">
        <v>46293.7245804282</v>
      </c>
      <c r="B37" s="22" t="s">
        <v>62</v>
      </c>
      <c r="C37" s="22" t="s">
        <v>73</v>
      </c>
      <c r="D37" s="22" t="s">
        <v>64</v>
      </c>
      <c r="E37" s="22" t="s">
        <v>120</v>
      </c>
      <c r="F37" s="24" t="n">
        <v>0.67</v>
      </c>
      <c r="G37" s="22" t="s">
        <v>72</v>
      </c>
      <c r="H37" s="22" t="n">
        <v>4</v>
      </c>
      <c r="J37" s="22" t="n">
        <v>3</v>
      </c>
      <c r="K37" s="22" t="n">
        <v>4</v>
      </c>
      <c r="L37" s="22" t="n">
        <v>5</v>
      </c>
      <c r="M37" s="22" t="n">
        <v>6</v>
      </c>
      <c r="N37" s="22" t="n">
        <v>4</v>
      </c>
      <c r="O37" s="22" t="n">
        <v>6</v>
      </c>
    </row>
    <row r="38" customFormat="false" ht="22.5" hidden="false" customHeight="true" outlineLevel="0" collapsed="false">
      <c r="A38" s="21" t="n">
        <v>46293.7255235995</v>
      </c>
      <c r="B38" s="22" t="s">
        <v>80</v>
      </c>
      <c r="C38" s="22" t="s">
        <v>87</v>
      </c>
      <c r="D38" s="22" t="s">
        <v>92</v>
      </c>
      <c r="E38" s="22" t="s">
        <v>98</v>
      </c>
      <c r="F38" s="23" t="s">
        <v>121</v>
      </c>
      <c r="G38" s="22" t="s">
        <v>74</v>
      </c>
      <c r="H38" s="22" t="n">
        <v>3</v>
      </c>
      <c r="I38" s="22" t="n">
        <v>4</v>
      </c>
      <c r="J38" s="22" t="n">
        <v>3</v>
      </c>
      <c r="K38" s="22" t="n">
        <v>3</v>
      </c>
      <c r="L38" s="22" t="n">
        <v>4</v>
      </c>
      <c r="M38" s="22" t="n">
        <v>2</v>
      </c>
      <c r="N38" s="22" t="n">
        <v>4</v>
      </c>
      <c r="O38" s="22" t="n">
        <v>5</v>
      </c>
    </row>
    <row r="39" customFormat="false" ht="22.5" hidden="false" customHeight="true" outlineLevel="0" collapsed="false">
      <c r="A39" s="21" t="n">
        <v>46293.7260245255</v>
      </c>
      <c r="B39" s="22" t="s">
        <v>62</v>
      </c>
      <c r="C39" s="22" t="s">
        <v>73</v>
      </c>
      <c r="D39" s="22" t="s">
        <v>92</v>
      </c>
      <c r="E39" s="22" t="s">
        <v>122</v>
      </c>
      <c r="F39" s="24" t="n">
        <v>0.73</v>
      </c>
      <c r="G39" s="22" t="s">
        <v>84</v>
      </c>
      <c r="H39" s="22" t="n">
        <v>4</v>
      </c>
      <c r="I39" s="22" t="n">
        <v>3</v>
      </c>
      <c r="J39" s="22" t="n">
        <v>2</v>
      </c>
      <c r="K39" s="22" t="n">
        <v>5</v>
      </c>
      <c r="L39" s="22" t="n">
        <v>4</v>
      </c>
      <c r="M39" s="22" t="n">
        <v>3</v>
      </c>
      <c r="N39" s="22" t="n">
        <v>4</v>
      </c>
      <c r="O39" s="22" t="n">
        <v>5</v>
      </c>
    </row>
    <row r="40" customFormat="false" ht="22.5" hidden="false" customHeight="true" outlineLevel="0" collapsed="false">
      <c r="A40" s="21" t="n">
        <v>46293.7270401505</v>
      </c>
      <c r="B40" s="22" t="s">
        <v>95</v>
      </c>
      <c r="C40" s="22" t="s">
        <v>123</v>
      </c>
      <c r="D40" s="22" t="s">
        <v>92</v>
      </c>
      <c r="E40" s="22" t="s">
        <v>106</v>
      </c>
      <c r="F40" s="23" t="s">
        <v>124</v>
      </c>
      <c r="G40" s="22" t="s">
        <v>74</v>
      </c>
      <c r="H40" s="22" t="n">
        <v>3</v>
      </c>
      <c r="I40" s="22" t="n">
        <v>4</v>
      </c>
      <c r="J40" s="22" t="n">
        <v>5</v>
      </c>
      <c r="K40" s="22" t="n">
        <v>6</v>
      </c>
      <c r="L40" s="22" t="n">
        <v>3</v>
      </c>
      <c r="M40" s="22" t="n">
        <v>4</v>
      </c>
      <c r="N40" s="22" t="n">
        <v>5</v>
      </c>
      <c r="O40" s="22" t="n">
        <v>6</v>
      </c>
    </row>
    <row r="41" customFormat="false" ht="22.5" hidden="false" customHeight="true" outlineLevel="0" collapsed="false">
      <c r="A41" s="21" t="n">
        <v>46293.7278608449</v>
      </c>
      <c r="B41" s="22" t="s">
        <v>80</v>
      </c>
      <c r="C41" s="22" t="s">
        <v>68</v>
      </c>
      <c r="D41" s="22" t="s">
        <v>64</v>
      </c>
      <c r="E41" s="22" t="s">
        <v>125</v>
      </c>
      <c r="F41" s="23" t="s">
        <v>126</v>
      </c>
      <c r="G41" s="22" t="s">
        <v>74</v>
      </c>
      <c r="H41" s="22" t="n">
        <v>4</v>
      </c>
      <c r="I41" s="22" t="n">
        <v>2</v>
      </c>
      <c r="J41" s="22" t="n">
        <v>3</v>
      </c>
      <c r="K41" s="22" t="n">
        <v>1</v>
      </c>
      <c r="L41" s="22" t="n">
        <v>3</v>
      </c>
      <c r="M41" s="22" t="n">
        <v>5</v>
      </c>
      <c r="N41" s="22" t="n">
        <v>6</v>
      </c>
      <c r="O41" s="22" t="n">
        <v>2</v>
      </c>
    </row>
    <row r="42" customFormat="false" ht="22.5" hidden="false" customHeight="true" outlineLevel="0" collapsed="false">
      <c r="A42" s="21" t="n">
        <v>46293.7289449884</v>
      </c>
      <c r="B42" s="22" t="s">
        <v>62</v>
      </c>
      <c r="C42" s="22" t="s">
        <v>96</v>
      </c>
      <c r="D42" s="22" t="s">
        <v>76</v>
      </c>
      <c r="E42" s="22" t="s">
        <v>122</v>
      </c>
      <c r="F42" s="23" t="s">
        <v>127</v>
      </c>
      <c r="G42" s="22" t="s">
        <v>84</v>
      </c>
      <c r="H42" s="22" t="n">
        <v>5</v>
      </c>
      <c r="I42" s="22" t="n">
        <v>3</v>
      </c>
      <c r="J42" s="22" t="n">
        <v>4</v>
      </c>
      <c r="K42" s="22" t="n">
        <v>3</v>
      </c>
      <c r="L42" s="22" t="n">
        <v>4</v>
      </c>
      <c r="M42" s="22" t="n">
        <v>6</v>
      </c>
      <c r="N42" s="22" t="n">
        <v>4</v>
      </c>
      <c r="O42" s="22" t="n">
        <v>5</v>
      </c>
    </row>
    <row r="43" customFormat="false" ht="22.5" hidden="false" customHeight="true" outlineLevel="0" collapsed="false">
      <c r="A43" s="21" t="n">
        <v>46293.7298331366</v>
      </c>
      <c r="B43" s="22" t="s">
        <v>80</v>
      </c>
      <c r="C43" s="22" t="s">
        <v>128</v>
      </c>
      <c r="D43" s="22" t="s">
        <v>64</v>
      </c>
      <c r="E43" s="22" t="s">
        <v>116</v>
      </c>
      <c r="F43" s="23" t="s">
        <v>129</v>
      </c>
      <c r="G43" s="22" t="s">
        <v>79</v>
      </c>
      <c r="H43" s="22" t="n">
        <v>3</v>
      </c>
      <c r="I43" s="22" t="n">
        <v>4</v>
      </c>
      <c r="J43" s="22" t="n">
        <v>3</v>
      </c>
      <c r="K43" s="22" t="n">
        <v>4</v>
      </c>
      <c r="L43" s="22" t="n">
        <v>3</v>
      </c>
      <c r="M43" s="22" t="n">
        <v>4</v>
      </c>
      <c r="N43" s="22" t="n">
        <v>3</v>
      </c>
      <c r="O43" s="22" t="n">
        <v>4</v>
      </c>
    </row>
    <row r="44" customFormat="false" ht="22.5" hidden="false" customHeight="true" outlineLevel="0" collapsed="false">
      <c r="A44" s="21" t="n">
        <v>46293.7516575695</v>
      </c>
      <c r="B44" s="22" t="s">
        <v>62</v>
      </c>
      <c r="C44" s="22" t="s">
        <v>96</v>
      </c>
      <c r="D44" s="22" t="s">
        <v>76</v>
      </c>
      <c r="E44" s="22" t="s">
        <v>118</v>
      </c>
      <c r="F44" s="24" t="n">
        <v>0.63</v>
      </c>
      <c r="G44" s="22" t="s">
        <v>74</v>
      </c>
      <c r="H44" s="22" t="n">
        <v>3</v>
      </c>
      <c r="I44" s="22" t="n">
        <v>4</v>
      </c>
      <c r="J44" s="22" t="n">
        <v>5</v>
      </c>
      <c r="K44" s="22" t="n">
        <v>5</v>
      </c>
      <c r="L44" s="22" t="n">
        <v>4</v>
      </c>
      <c r="M44" s="22" t="n">
        <v>6</v>
      </c>
      <c r="N44" s="22" t="n">
        <v>6</v>
      </c>
      <c r="O44" s="22" t="n">
        <v>6</v>
      </c>
    </row>
    <row r="45" customFormat="false" ht="22.5" hidden="false" customHeight="true" outlineLevel="0" collapsed="false">
      <c r="A45" s="21" t="n">
        <v>46293.7526596296</v>
      </c>
      <c r="B45" s="22" t="s">
        <v>62</v>
      </c>
      <c r="C45" s="22" t="s">
        <v>68</v>
      </c>
      <c r="D45" s="22" t="s">
        <v>92</v>
      </c>
      <c r="E45" s="22" t="s">
        <v>106</v>
      </c>
      <c r="F45" s="24" t="n">
        <v>0.67</v>
      </c>
      <c r="G45" s="22" t="s">
        <v>72</v>
      </c>
      <c r="H45" s="22" t="n">
        <v>4</v>
      </c>
      <c r="I45" s="22" t="n">
        <v>4</v>
      </c>
      <c r="J45" s="22" t="n">
        <v>3</v>
      </c>
      <c r="K45" s="22" t="n">
        <v>4</v>
      </c>
      <c r="L45" s="22" t="n">
        <v>4</v>
      </c>
      <c r="M45" s="22" t="n">
        <v>3</v>
      </c>
      <c r="N45" s="22" t="n">
        <v>4</v>
      </c>
      <c r="O45" s="22" t="n">
        <v>4</v>
      </c>
    </row>
    <row r="46" customFormat="false" ht="22.5" hidden="false" customHeight="true" outlineLevel="0" collapsed="false">
      <c r="A46" s="21" t="n">
        <v>46293.7799785995</v>
      </c>
      <c r="B46" s="22" t="s">
        <v>62</v>
      </c>
      <c r="C46" s="22" t="s">
        <v>87</v>
      </c>
      <c r="D46" s="22" t="s">
        <v>97</v>
      </c>
      <c r="E46" s="22" t="s">
        <v>130</v>
      </c>
      <c r="F46" s="23" t="s">
        <v>131</v>
      </c>
      <c r="G46" s="22" t="s">
        <v>84</v>
      </c>
      <c r="H46" s="22" t="n">
        <v>3</v>
      </c>
      <c r="I46" s="22" t="n">
        <v>4</v>
      </c>
      <c r="J46" s="22" t="n">
        <v>5</v>
      </c>
      <c r="K46" s="22" t="n">
        <v>3</v>
      </c>
      <c r="L46" s="22" t="n">
        <v>4</v>
      </c>
      <c r="M46" s="22" t="n">
        <v>5</v>
      </c>
      <c r="N46" s="22" t="n">
        <v>6</v>
      </c>
      <c r="O46" s="22" t="n">
        <v>3</v>
      </c>
    </row>
    <row r="47" customFormat="false" ht="22.5" hidden="false" customHeight="true" outlineLevel="0" collapsed="false">
      <c r="A47" s="21" t="n">
        <v>46293.7848266782</v>
      </c>
      <c r="B47" s="22" t="s">
        <v>95</v>
      </c>
      <c r="C47" s="22" t="s">
        <v>87</v>
      </c>
      <c r="D47" s="22" t="s">
        <v>64</v>
      </c>
      <c r="E47" s="22" t="s">
        <v>132</v>
      </c>
      <c r="F47" s="24" t="n">
        <v>0.93</v>
      </c>
      <c r="G47" s="22" t="s">
        <v>74</v>
      </c>
      <c r="H47" s="22" t="n">
        <v>4</v>
      </c>
      <c r="I47" s="22" t="n">
        <v>3</v>
      </c>
      <c r="J47" s="22" t="n">
        <v>2</v>
      </c>
      <c r="K47" s="22" t="n">
        <v>3</v>
      </c>
      <c r="L47" s="22" t="n">
        <v>5</v>
      </c>
      <c r="M47" s="22" t="n">
        <v>4</v>
      </c>
      <c r="N47" s="22" t="n">
        <v>3</v>
      </c>
      <c r="O47" s="22" t="n">
        <v>4</v>
      </c>
    </row>
    <row r="48" customFormat="false" ht="22.5" hidden="false" customHeight="true" outlineLevel="0" collapsed="false">
      <c r="A48" s="21" t="n">
        <v>46293.7874828588</v>
      </c>
      <c r="B48" s="22" t="s">
        <v>95</v>
      </c>
      <c r="C48" s="22" t="s">
        <v>96</v>
      </c>
      <c r="D48" s="22" t="s">
        <v>76</v>
      </c>
      <c r="E48" s="22" t="s">
        <v>133</v>
      </c>
      <c r="F48" s="24" t="n">
        <v>0.78</v>
      </c>
      <c r="G48" s="22" t="s">
        <v>67</v>
      </c>
      <c r="H48" s="22" t="n">
        <v>2</v>
      </c>
      <c r="I48" s="22" t="n">
        <v>3</v>
      </c>
      <c r="J48" s="22" t="n">
        <v>4</v>
      </c>
      <c r="K48" s="22" t="n">
        <v>3</v>
      </c>
      <c r="L48" s="22" t="n">
        <v>4</v>
      </c>
      <c r="M48" s="22" t="n">
        <v>3</v>
      </c>
      <c r="N48" s="22" t="n">
        <v>4</v>
      </c>
      <c r="O48" s="22" t="n">
        <v>3</v>
      </c>
    </row>
    <row r="49" customFormat="false" ht="22.5" hidden="false" customHeight="true" outlineLevel="0" collapsed="false">
      <c r="A49" s="21" t="n">
        <v>46293.7883103357</v>
      </c>
      <c r="B49" s="22" t="s">
        <v>62</v>
      </c>
      <c r="C49" s="22" t="s">
        <v>96</v>
      </c>
      <c r="D49" s="22" t="s">
        <v>76</v>
      </c>
      <c r="E49" s="22" t="s">
        <v>134</v>
      </c>
      <c r="F49" s="24" t="n">
        <v>0.76</v>
      </c>
      <c r="G49" s="22" t="s">
        <v>72</v>
      </c>
      <c r="H49" s="22" t="n">
        <v>3</v>
      </c>
      <c r="I49" s="22" t="n">
        <v>4</v>
      </c>
      <c r="J49" s="22" t="n">
        <v>3</v>
      </c>
      <c r="K49" s="22" t="n">
        <v>4</v>
      </c>
      <c r="L49" s="22" t="n">
        <v>3</v>
      </c>
      <c r="M49" s="22" t="n">
        <v>4</v>
      </c>
      <c r="N49" s="22" t="n">
        <v>3</v>
      </c>
      <c r="O49" s="22" t="n">
        <v>4</v>
      </c>
    </row>
    <row r="50" customFormat="false" ht="22.5" hidden="false" customHeight="true" outlineLevel="0" collapsed="false">
      <c r="A50" s="21" t="n">
        <v>46293.7902150694</v>
      </c>
      <c r="B50" s="22" t="s">
        <v>62</v>
      </c>
      <c r="C50" s="22" t="s">
        <v>87</v>
      </c>
      <c r="D50" s="22" t="s">
        <v>64</v>
      </c>
      <c r="E50" s="22" t="s">
        <v>135</v>
      </c>
      <c r="F50" s="24" t="n">
        <v>0.72</v>
      </c>
      <c r="G50" s="22" t="s">
        <v>74</v>
      </c>
      <c r="H50" s="22" t="n">
        <v>2</v>
      </c>
      <c r="I50" s="22" t="n">
        <v>3</v>
      </c>
      <c r="J50" s="22" t="n">
        <v>2</v>
      </c>
      <c r="K50" s="22" t="n">
        <v>4</v>
      </c>
      <c r="L50" s="22" t="n">
        <v>3</v>
      </c>
      <c r="M50" s="22" t="n">
        <v>4</v>
      </c>
      <c r="N50" s="22" t="n">
        <v>3</v>
      </c>
      <c r="O50" s="22" t="n">
        <v>3</v>
      </c>
    </row>
    <row r="51" customFormat="false" ht="22.5" hidden="false" customHeight="true" outlineLevel="0" collapsed="false">
      <c r="A51" s="21" t="n">
        <v>46293.7913805671</v>
      </c>
      <c r="B51" s="22" t="s">
        <v>80</v>
      </c>
      <c r="C51" s="22" t="s">
        <v>136</v>
      </c>
      <c r="D51" s="22" t="s">
        <v>64</v>
      </c>
      <c r="E51" s="22" t="s">
        <v>137</v>
      </c>
      <c r="F51" s="24" t="n">
        <v>0.86</v>
      </c>
      <c r="G51" s="22" t="s">
        <v>74</v>
      </c>
      <c r="H51" s="22" t="n">
        <v>3</v>
      </c>
      <c r="I51" s="22" t="n">
        <v>4</v>
      </c>
      <c r="J51" s="22" t="n">
        <v>3</v>
      </c>
      <c r="K51" s="22" t="n">
        <v>5</v>
      </c>
      <c r="L51" s="22" t="n">
        <v>4</v>
      </c>
      <c r="M51" s="22" t="n">
        <v>4</v>
      </c>
      <c r="N51" s="22" t="n">
        <v>6</v>
      </c>
      <c r="O51" s="22" t="n">
        <v>4</v>
      </c>
    </row>
    <row r="52" customFormat="false" ht="22.5" hidden="false" customHeight="true" outlineLevel="0" collapsed="false">
      <c r="A52" s="21" t="n">
        <v>46293.7927529398</v>
      </c>
      <c r="B52" s="22" t="s">
        <v>62</v>
      </c>
      <c r="C52" s="22" t="s">
        <v>68</v>
      </c>
      <c r="D52" s="22" t="s">
        <v>64</v>
      </c>
      <c r="E52" s="22" t="s">
        <v>138</v>
      </c>
      <c r="F52" s="24" t="n">
        <v>0.83</v>
      </c>
      <c r="G52" s="22" t="s">
        <v>72</v>
      </c>
      <c r="H52" s="22" t="n">
        <v>4</v>
      </c>
      <c r="I52" s="22" t="n">
        <v>3</v>
      </c>
      <c r="J52" s="22" t="n">
        <v>4</v>
      </c>
      <c r="K52" s="22" t="n">
        <v>3</v>
      </c>
      <c r="L52" s="22" t="n">
        <v>4</v>
      </c>
      <c r="M52" s="22" t="n">
        <v>3</v>
      </c>
      <c r="N52" s="22" t="n">
        <v>4</v>
      </c>
      <c r="O52" s="22" t="n">
        <v>3</v>
      </c>
    </row>
    <row r="53" customFormat="false" ht="22.5" hidden="false" customHeight="true" outlineLevel="0" collapsed="false">
      <c r="A53" s="21" t="n">
        <v>46293.7940674769</v>
      </c>
      <c r="B53" s="22" t="s">
        <v>62</v>
      </c>
      <c r="C53" s="22" t="s">
        <v>73</v>
      </c>
      <c r="D53" s="22" t="s">
        <v>92</v>
      </c>
      <c r="E53" s="22" t="s">
        <v>139</v>
      </c>
      <c r="F53" s="23" t="s">
        <v>140</v>
      </c>
      <c r="G53" s="22" t="s">
        <v>74</v>
      </c>
      <c r="H53" s="22" t="n">
        <v>3</v>
      </c>
      <c r="I53" s="22" t="n">
        <v>4</v>
      </c>
      <c r="J53" s="22" t="n">
        <v>3</v>
      </c>
      <c r="K53" s="22" t="n">
        <v>4</v>
      </c>
      <c r="L53" s="22" t="n">
        <v>3</v>
      </c>
      <c r="M53" s="22" t="n">
        <v>4</v>
      </c>
      <c r="N53" s="22" t="n">
        <v>3</v>
      </c>
      <c r="O53" s="22" t="n">
        <v>4</v>
      </c>
    </row>
    <row r="54" customFormat="false" ht="22.5" hidden="false" customHeight="true" outlineLevel="0" collapsed="false">
      <c r="A54" s="21" t="n">
        <v>46293.7953988194</v>
      </c>
      <c r="B54" s="22" t="s">
        <v>62</v>
      </c>
      <c r="C54" s="22" t="s">
        <v>96</v>
      </c>
      <c r="D54" s="22" t="s">
        <v>76</v>
      </c>
      <c r="E54" s="22" t="s">
        <v>141</v>
      </c>
      <c r="F54" s="23" t="s">
        <v>142</v>
      </c>
      <c r="G54" s="22" t="s">
        <v>74</v>
      </c>
      <c r="H54" s="22" t="n">
        <v>3</v>
      </c>
      <c r="I54" s="22" t="n">
        <v>6</v>
      </c>
      <c r="J54" s="22" t="n">
        <v>4</v>
      </c>
      <c r="K54" s="22" t="n">
        <v>6</v>
      </c>
      <c r="L54" s="22" t="n">
        <v>3</v>
      </c>
      <c r="M54" s="22" t="n">
        <v>4</v>
      </c>
      <c r="N54" s="22" t="n">
        <v>3</v>
      </c>
      <c r="O54" s="22" t="n">
        <v>4</v>
      </c>
    </row>
    <row r="55" customFormat="false" ht="22.5" hidden="false" customHeight="true" outlineLevel="0" collapsed="false">
      <c r="A55" s="21" t="n">
        <v>46293.7976923958</v>
      </c>
      <c r="B55" s="22" t="s">
        <v>80</v>
      </c>
      <c r="C55" s="22" t="s">
        <v>96</v>
      </c>
      <c r="D55" s="22" t="s">
        <v>76</v>
      </c>
      <c r="E55" s="22" t="s">
        <v>143</v>
      </c>
      <c r="F55" s="23" t="s">
        <v>144</v>
      </c>
      <c r="G55" s="22" t="s">
        <v>70</v>
      </c>
      <c r="H55" s="22" t="n">
        <v>3</v>
      </c>
      <c r="I55" s="22" t="n">
        <v>4</v>
      </c>
      <c r="J55" s="22" t="n">
        <v>4</v>
      </c>
      <c r="K55" s="22" t="n">
        <v>4</v>
      </c>
      <c r="L55" s="22" t="n">
        <v>4</v>
      </c>
      <c r="M55" s="22" t="n">
        <v>3</v>
      </c>
      <c r="N55" s="22" t="n">
        <v>4</v>
      </c>
      <c r="O55" s="22" t="n">
        <v>4</v>
      </c>
    </row>
    <row r="56" customFormat="false" ht="22.5" hidden="false" customHeight="true" outlineLevel="0" collapsed="false">
      <c r="A56" s="21" t="n">
        <v>46293.7988772685</v>
      </c>
      <c r="B56" s="22" t="s">
        <v>62</v>
      </c>
      <c r="C56" s="22" t="s">
        <v>87</v>
      </c>
      <c r="D56" s="22" t="s">
        <v>92</v>
      </c>
      <c r="E56" s="22" t="s">
        <v>145</v>
      </c>
      <c r="F56" s="24" t="n">
        <v>0.81</v>
      </c>
      <c r="G56" s="22" t="s">
        <v>67</v>
      </c>
      <c r="H56" s="22" t="n">
        <v>2</v>
      </c>
      <c r="I56" s="22" t="n">
        <v>3</v>
      </c>
      <c r="J56" s="22" t="n">
        <v>4</v>
      </c>
      <c r="K56" s="22" t="n">
        <v>3</v>
      </c>
      <c r="L56" s="22" t="n">
        <v>4</v>
      </c>
      <c r="M56" s="22" t="n">
        <v>3</v>
      </c>
      <c r="N56" s="22" t="n">
        <v>4</v>
      </c>
      <c r="O56" s="22" t="n">
        <v>4</v>
      </c>
    </row>
    <row r="57" customFormat="false" ht="22.5" hidden="false" customHeight="true" outlineLevel="0" collapsed="false">
      <c r="A57" s="21" t="n">
        <v>46293.7998034028</v>
      </c>
      <c r="B57" s="22" t="s">
        <v>80</v>
      </c>
      <c r="C57" s="22" t="s">
        <v>71</v>
      </c>
      <c r="D57" s="22" t="s">
        <v>97</v>
      </c>
      <c r="E57" s="22" t="s">
        <v>146</v>
      </c>
      <c r="F57" s="25" t="n">
        <v>0.483</v>
      </c>
      <c r="G57" s="22" t="s">
        <v>67</v>
      </c>
      <c r="H57" s="22" t="n">
        <v>5</v>
      </c>
      <c r="I57" s="22" t="n">
        <v>3</v>
      </c>
      <c r="J57" s="22" t="n">
        <v>4</v>
      </c>
      <c r="K57" s="22" t="n">
        <v>3</v>
      </c>
      <c r="L57" s="22" t="n">
        <v>4</v>
      </c>
      <c r="M57" s="22" t="n">
        <v>3</v>
      </c>
      <c r="N57" s="22" t="n">
        <v>4</v>
      </c>
      <c r="O57" s="22" t="n">
        <v>5</v>
      </c>
    </row>
    <row r="58" customFormat="false" ht="22.5" hidden="false" customHeight="true" outlineLevel="0" collapsed="false">
      <c r="A58" s="21" t="n">
        <v>46293.8008862384</v>
      </c>
      <c r="B58" s="22" t="s">
        <v>95</v>
      </c>
      <c r="C58" s="22" t="s">
        <v>96</v>
      </c>
      <c r="D58" s="22" t="s">
        <v>92</v>
      </c>
      <c r="E58" s="22" t="s">
        <v>147</v>
      </c>
      <c r="F58" s="24" t="n">
        <v>0.56</v>
      </c>
      <c r="G58" s="22" t="s">
        <v>72</v>
      </c>
      <c r="H58" s="22" t="n">
        <v>4</v>
      </c>
      <c r="I58" s="22" t="n">
        <v>3</v>
      </c>
      <c r="J58" s="22" t="n">
        <v>3</v>
      </c>
      <c r="K58" s="22" t="n">
        <v>4</v>
      </c>
      <c r="L58" s="22" t="n">
        <v>4</v>
      </c>
      <c r="M58" s="22" t="n">
        <v>3</v>
      </c>
      <c r="N58" s="22" t="n">
        <v>3</v>
      </c>
      <c r="O58" s="22" t="n">
        <v>4</v>
      </c>
    </row>
    <row r="59" customFormat="false" ht="22.5" hidden="false" customHeight="true" outlineLevel="0" collapsed="false">
      <c r="A59" s="21" t="n">
        <v>46293.802620382</v>
      </c>
      <c r="B59" s="22" t="s">
        <v>95</v>
      </c>
      <c r="C59" s="22" t="s">
        <v>96</v>
      </c>
      <c r="D59" s="22" t="s">
        <v>92</v>
      </c>
      <c r="E59" s="22" t="s">
        <v>148</v>
      </c>
      <c r="F59" s="23" t="s">
        <v>149</v>
      </c>
      <c r="G59" s="22" t="s">
        <v>84</v>
      </c>
      <c r="H59" s="22" t="n">
        <v>3</v>
      </c>
      <c r="I59" s="22" t="n">
        <v>4</v>
      </c>
      <c r="J59" s="22" t="n">
        <v>3</v>
      </c>
      <c r="K59" s="22" t="n">
        <v>5</v>
      </c>
      <c r="L59" s="22" t="n">
        <v>4</v>
      </c>
      <c r="M59" s="22" t="n">
        <v>3</v>
      </c>
      <c r="N59" s="22" t="n">
        <v>5</v>
      </c>
      <c r="O59" s="22" t="n">
        <v>4</v>
      </c>
    </row>
    <row r="60" customFormat="false" ht="22.5" hidden="false" customHeight="true" outlineLevel="0" collapsed="false">
      <c r="A60" s="21" t="n">
        <v>46293.8035282755</v>
      </c>
      <c r="B60" s="22" t="s">
        <v>80</v>
      </c>
      <c r="C60" s="22" t="s">
        <v>73</v>
      </c>
      <c r="D60" s="22" t="s">
        <v>92</v>
      </c>
      <c r="E60" s="22" t="s">
        <v>150</v>
      </c>
      <c r="F60" s="25" t="n">
        <v>0.583</v>
      </c>
      <c r="G60" s="22" t="s">
        <v>72</v>
      </c>
      <c r="H60" s="22" t="n">
        <v>4</v>
      </c>
      <c r="I60" s="22" t="n">
        <v>3</v>
      </c>
      <c r="J60" s="22" t="n">
        <v>4</v>
      </c>
      <c r="K60" s="22" t="n">
        <v>3</v>
      </c>
      <c r="L60" s="22" t="n">
        <v>5</v>
      </c>
      <c r="M60" s="22" t="n">
        <v>5</v>
      </c>
      <c r="N60" s="22" t="n">
        <v>6</v>
      </c>
      <c r="O60" s="22" t="n">
        <v>6</v>
      </c>
    </row>
    <row r="61" customFormat="false" ht="22.5" hidden="false" customHeight="true" outlineLevel="0" collapsed="false">
      <c r="A61" s="21" t="n">
        <v>46293.8042323495</v>
      </c>
      <c r="B61" s="22" t="s">
        <v>95</v>
      </c>
      <c r="C61" s="22" t="s">
        <v>87</v>
      </c>
      <c r="D61" s="22" t="s">
        <v>97</v>
      </c>
      <c r="E61" s="22" t="s">
        <v>151</v>
      </c>
      <c r="F61" s="24" t="n">
        <v>0.76</v>
      </c>
      <c r="G61" s="22" t="s">
        <v>67</v>
      </c>
      <c r="H61" s="22" t="n">
        <v>4</v>
      </c>
      <c r="I61" s="22" t="n">
        <v>3</v>
      </c>
      <c r="J61" s="22" t="n">
        <v>3</v>
      </c>
      <c r="K61" s="22" t="n">
        <v>3</v>
      </c>
      <c r="L61" s="22" t="n">
        <v>4</v>
      </c>
      <c r="M61" s="22" t="n">
        <v>4</v>
      </c>
      <c r="N61" s="22" t="n">
        <v>3</v>
      </c>
      <c r="O61" s="22" t="n">
        <v>4</v>
      </c>
    </row>
    <row r="62" customFormat="false" ht="22.5" hidden="false" customHeight="true" outlineLevel="0" collapsed="false">
      <c r="A62" s="21" t="n">
        <v>46293.8054290741</v>
      </c>
      <c r="B62" s="22" t="s">
        <v>62</v>
      </c>
      <c r="C62" s="22" t="s">
        <v>152</v>
      </c>
      <c r="D62" s="22" t="s">
        <v>64</v>
      </c>
      <c r="E62" s="22" t="s">
        <v>153</v>
      </c>
      <c r="F62" s="23" t="s">
        <v>154</v>
      </c>
      <c r="G62" s="22" t="s">
        <v>84</v>
      </c>
      <c r="H62" s="22" t="n">
        <v>1</v>
      </c>
      <c r="I62" s="22" t="n">
        <v>3</v>
      </c>
      <c r="J62" s="22" t="n">
        <v>3</v>
      </c>
      <c r="K62" s="22" t="n">
        <v>4</v>
      </c>
      <c r="L62" s="22" t="n">
        <v>5</v>
      </c>
      <c r="M62" s="22" t="n">
        <v>6</v>
      </c>
      <c r="N62" s="22" t="n">
        <v>3</v>
      </c>
      <c r="O62" s="22" t="n">
        <v>5</v>
      </c>
    </row>
    <row r="63" customFormat="false" ht="22.5" hidden="false" customHeight="true" outlineLevel="0" collapsed="false">
      <c r="A63" s="21" t="n">
        <v>46293.8065854514</v>
      </c>
      <c r="B63" s="22" t="s">
        <v>80</v>
      </c>
      <c r="C63" s="22" t="s">
        <v>73</v>
      </c>
      <c r="D63" s="22" t="s">
        <v>97</v>
      </c>
      <c r="E63" s="22" t="s">
        <v>155</v>
      </c>
      <c r="F63" s="23" t="n">
        <v>50</v>
      </c>
      <c r="G63" s="22" t="s">
        <v>70</v>
      </c>
      <c r="H63" s="22" t="n">
        <v>6</v>
      </c>
      <c r="I63" s="22" t="n">
        <v>6</v>
      </c>
      <c r="J63" s="22" t="n">
        <v>6</v>
      </c>
      <c r="K63" s="22" t="n">
        <v>6</v>
      </c>
      <c r="L63" s="22" t="n">
        <v>6</v>
      </c>
      <c r="M63" s="22" t="n">
        <v>6</v>
      </c>
      <c r="N63" s="22" t="n">
        <v>6</v>
      </c>
      <c r="O63" s="22" t="n">
        <v>6</v>
      </c>
    </row>
    <row r="64" customFormat="false" ht="22.5" hidden="false" customHeight="true" outlineLevel="0" collapsed="false">
      <c r="A64" s="21" t="n">
        <v>46293.8083108912</v>
      </c>
      <c r="B64" s="22" t="s">
        <v>62</v>
      </c>
      <c r="C64" s="22" t="s">
        <v>87</v>
      </c>
      <c r="D64" s="22" t="s">
        <v>92</v>
      </c>
      <c r="E64" s="22" t="s">
        <v>156</v>
      </c>
      <c r="F64" s="24" t="n">
        <v>0.56</v>
      </c>
      <c r="G64" s="22" t="s">
        <v>72</v>
      </c>
      <c r="H64" s="22" t="n">
        <v>3</v>
      </c>
      <c r="I64" s="22" t="n">
        <v>4</v>
      </c>
      <c r="J64" s="22" t="n">
        <v>5</v>
      </c>
      <c r="K64" s="22" t="n">
        <v>5</v>
      </c>
      <c r="L64" s="22" t="n">
        <v>6</v>
      </c>
      <c r="M64" s="22" t="n">
        <v>6</v>
      </c>
      <c r="N64" s="22" t="n">
        <v>3</v>
      </c>
      <c r="O64" s="22" t="n">
        <v>4</v>
      </c>
    </row>
    <row r="65" customFormat="false" ht="22.5" hidden="false" customHeight="true" outlineLevel="0" collapsed="false">
      <c r="A65" s="21" t="n">
        <v>46293.8106433796</v>
      </c>
      <c r="B65" s="22" t="s">
        <v>80</v>
      </c>
      <c r="C65" s="22" t="s">
        <v>73</v>
      </c>
      <c r="D65" s="22" t="s">
        <v>64</v>
      </c>
      <c r="E65" s="22" t="s">
        <v>157</v>
      </c>
      <c r="F65" s="25" t="n">
        <v>0.573</v>
      </c>
      <c r="G65" s="22" t="s">
        <v>67</v>
      </c>
      <c r="H65" s="22" t="n">
        <v>3</v>
      </c>
      <c r="I65" s="22" t="n">
        <v>4</v>
      </c>
      <c r="J65" s="22" t="n">
        <v>3</v>
      </c>
      <c r="K65" s="22" t="n">
        <v>5</v>
      </c>
      <c r="L65" s="22" t="n">
        <v>3</v>
      </c>
      <c r="M65" s="22" t="n">
        <v>6</v>
      </c>
      <c r="N65" s="22" t="n">
        <v>4</v>
      </c>
      <c r="O65" s="22" t="n">
        <v>6</v>
      </c>
    </row>
    <row r="66" customFormat="false" ht="22.5" hidden="false" customHeight="true" outlineLevel="0" collapsed="false">
      <c r="A66" s="21" t="n">
        <v>46293.8111914005</v>
      </c>
      <c r="B66" s="22" t="s">
        <v>95</v>
      </c>
      <c r="C66" s="22" t="s">
        <v>87</v>
      </c>
      <c r="D66" s="22" t="s">
        <v>92</v>
      </c>
      <c r="E66" s="22" t="s">
        <v>153</v>
      </c>
      <c r="F66" s="25" t="n">
        <v>0.893</v>
      </c>
      <c r="G66" s="22" t="s">
        <v>74</v>
      </c>
      <c r="H66" s="22" t="n">
        <v>4</v>
      </c>
      <c r="I66" s="22" t="n">
        <v>3</v>
      </c>
      <c r="J66" s="22" t="n">
        <v>5</v>
      </c>
      <c r="K66" s="22" t="n">
        <v>6</v>
      </c>
      <c r="L66" s="22" t="n">
        <v>4</v>
      </c>
      <c r="M66" s="22" t="n">
        <v>6</v>
      </c>
      <c r="N66" s="22" t="n">
        <v>4</v>
      </c>
      <c r="O66" s="22" t="n">
        <v>6</v>
      </c>
    </row>
    <row r="69" customFormat="false" ht="12.75" hidden="false" customHeight="true" outlineLevel="0" collapsed="false">
      <c r="A69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5"/>
    <col collapsed="false" customWidth="true" hidden="false" outlineLevel="0" max="2" min="2" style="19" width="60"/>
    <col collapsed="false" customWidth="true" hidden="false" outlineLevel="0" max="3" min="3" style="19" width="62"/>
    <col collapsed="false" customWidth="true" hidden="false" outlineLevel="0" max="4" min="4" style="19" width="14"/>
  </cols>
  <sheetData>
    <row r="1" customFormat="false" ht="17.25" hidden="false" customHeight="true" outlineLevel="0" collapsed="false">
      <c r="A1" s="27" t="s">
        <v>158</v>
      </c>
    </row>
    <row r="3" customFormat="false" ht="15" hidden="false" customHeight="true" outlineLevel="0" collapsed="false">
      <c r="A3" s="20" t="s">
        <v>159</v>
      </c>
      <c r="B3" s="20" t="s">
        <v>160</v>
      </c>
      <c r="C3" s="20" t="s">
        <v>161</v>
      </c>
      <c r="D3" s="20" t="s">
        <v>162</v>
      </c>
    </row>
    <row r="4" customFormat="false" ht="45" hidden="false" customHeight="true" outlineLevel="0" collapsed="false">
      <c r="A4" s="28" t="n">
        <v>1</v>
      </c>
      <c r="B4" s="29" t="s">
        <v>163</v>
      </c>
      <c r="C4" s="29" t="s">
        <v>164</v>
      </c>
      <c r="D4" s="28" t="n">
        <f aca="false">COUNTIF('Cleaned Data'!$W$2:$W$66,"*GPA to %*")</f>
        <v>22</v>
      </c>
    </row>
    <row r="5" customFormat="false" ht="45" hidden="false" customHeight="true" outlineLevel="0" collapsed="false">
      <c r="A5" s="28" t="n">
        <v>2</v>
      </c>
      <c r="B5" s="29" t="s">
        <v>165</v>
      </c>
      <c r="C5" s="29" t="s">
        <v>166</v>
      </c>
      <c r="D5" s="28" t="n">
        <f aca="false">COUNTIF('Cleaned Data'!$W$2:$W$66,"*decimal to %*")</f>
        <v>40</v>
      </c>
    </row>
    <row r="6" customFormat="false" ht="45" hidden="false" customHeight="true" outlineLevel="0" collapsed="false">
      <c r="A6" s="28" t="n">
        <v>3</v>
      </c>
      <c r="B6" s="29" t="s">
        <v>167</v>
      </c>
      <c r="C6" s="29" t="s">
        <v>168</v>
      </c>
      <c r="D6" s="28" t="n">
        <f aca="false">COUNTIF('Cleaned Data'!$W$2:$W$66,"*no score*")</f>
        <v>2</v>
      </c>
    </row>
    <row r="7" customFormat="false" ht="45" hidden="false" customHeight="true" outlineLevel="0" collapsed="false">
      <c r="A7" s="28" t="n">
        <v>4</v>
      </c>
      <c r="B7" s="29" t="s">
        <v>169</v>
      </c>
      <c r="C7" s="29" t="s">
        <v>170</v>
      </c>
      <c r="D7" s="28" t="n">
        <f aca="false">COUNTIF('Cleaned Data'!$W$2:$W$66,"*implausible score*")</f>
        <v>1</v>
      </c>
    </row>
    <row r="8" customFormat="false" ht="45" hidden="false" customHeight="true" outlineLevel="0" collapsed="false">
      <c r="A8" s="28" t="n">
        <v>5</v>
      </c>
      <c r="B8" s="29" t="s">
        <v>171</v>
      </c>
      <c r="C8" s="29" t="s">
        <v>172</v>
      </c>
      <c r="D8" s="28" t="n">
        <f aca="false">COUNTIF('Cleaned Data'!$W$2:$W$66,"*year label fixed*")</f>
        <v>1</v>
      </c>
    </row>
    <row r="9" customFormat="false" ht="45" hidden="false" customHeight="true" outlineLevel="0" collapsed="false">
      <c r="A9" s="28" t="n">
        <v>6</v>
      </c>
      <c r="B9" s="29" t="s">
        <v>173</v>
      </c>
      <c r="C9" s="29" t="s">
        <v>174</v>
      </c>
      <c r="D9" s="28" t="n">
        <f aca="false">COUNTIF('Cleaned Data'!$W$2:$W$66,"*city fixed*")</f>
        <v>29</v>
      </c>
    </row>
    <row r="10" customFormat="false" ht="45" hidden="false" customHeight="true" outlineLevel="0" collapsed="false">
      <c r="A10" s="28" t="n">
        <v>7</v>
      </c>
      <c r="B10" s="29" t="s">
        <v>175</v>
      </c>
      <c r="C10" s="29" t="s">
        <v>176</v>
      </c>
      <c r="D10" s="28" t="n">
        <f aca="false">COUNTIF('Cleaned Data'!$W$2:$W$66,"*field regrouped*")</f>
        <v>8</v>
      </c>
    </row>
    <row r="11" customFormat="false" ht="45" hidden="false" customHeight="true" outlineLevel="0" collapsed="false">
      <c r="A11" s="28" t="n">
        <v>8</v>
      </c>
      <c r="B11" s="29" t="s">
        <v>177</v>
      </c>
      <c r="C11" s="29" t="s">
        <v>178</v>
      </c>
      <c r="D11" s="28" t="n">
        <f aca="false">COUNTIF('Cleaned Data'!$W$2:$W$66,"*institution regrouped*")</f>
        <v>1</v>
      </c>
    </row>
    <row r="12" customFormat="false" ht="45" hidden="false" customHeight="true" outlineLevel="0" collapsed="false">
      <c r="A12" s="28" t="n">
        <v>9</v>
      </c>
      <c r="B12" s="29" t="s">
        <v>179</v>
      </c>
      <c r="C12" s="29" t="s">
        <v>180</v>
      </c>
      <c r="D12" s="28" t="n">
        <f aca="false">COUNTIF('Cleaned Data'!$W$2:$W$66,"*confidence blank*")</f>
        <v>1</v>
      </c>
    </row>
    <row r="13" customFormat="false" ht="31.5" hidden="false" customHeight="true" outlineLevel="0" collapsed="false">
      <c r="A13" s="28" t="n">
        <v>10</v>
      </c>
      <c r="B13" s="29" t="s">
        <v>181</v>
      </c>
      <c r="C13" s="29" t="s">
        <v>182</v>
      </c>
      <c r="D13" s="28" t="n">
        <v>0</v>
      </c>
    </row>
    <row r="15" customFormat="false" ht="15" hidden="false" customHeight="true" outlineLevel="0" collapsed="false">
      <c r="A15" s="30" t="s">
        <v>183</v>
      </c>
    </row>
    <row r="16" customFormat="false" ht="15" hidden="false" customHeight="true" outlineLevel="0" collapsed="false">
      <c r="A16" s="3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W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6"/>
    <col collapsed="false" customWidth="true" hidden="false" outlineLevel="0" max="2" min="2" style="19" width="18"/>
    <col collapsed="false" customWidth="true" hidden="false" outlineLevel="0" max="3" min="3" style="19" width="22"/>
    <col collapsed="false" customWidth="true" hidden="false" outlineLevel="0" max="4" min="4" style="19" width="11"/>
    <col collapsed="false" customWidth="true" hidden="false" outlineLevel="0" max="5" min="5" style="19" width="16"/>
    <col collapsed="false" customWidth="true" hidden="false" outlineLevel="0" max="7" min="6" style="19" width="12"/>
    <col collapsed="false" customWidth="true" hidden="false" outlineLevel="0" max="9" min="8" style="19" width="11"/>
    <col collapsed="false" customWidth="true" hidden="false" outlineLevel="0" max="10" min="10" style="19" width="13"/>
    <col collapsed="false" customWidth="true" hidden="false" outlineLevel="0" max="11" min="11" style="19" width="14"/>
    <col collapsed="false" customWidth="true" hidden="false" outlineLevel="0" max="12" min="12" style="19" width="15"/>
    <col collapsed="false" customWidth="true" hidden="false" outlineLevel="0" max="15" min="13" style="19" width="12"/>
    <col collapsed="false" customWidth="true" hidden="false" outlineLevel="0" max="16" min="16" style="19" width="14"/>
    <col collapsed="false" customWidth="true" hidden="false" outlineLevel="0" max="17" min="17" style="19" width="12"/>
    <col collapsed="false" customWidth="true" hidden="false" outlineLevel="0" max="18" min="18" style="19" width="13"/>
    <col collapsed="false" customWidth="true" hidden="false" outlineLevel="0" max="19" min="19" style="19" width="10"/>
    <col collapsed="false" customWidth="true" hidden="false" outlineLevel="0" max="20" min="20" style="19" width="16"/>
    <col collapsed="false" customWidth="true" hidden="false" outlineLevel="0" max="21" min="21" style="19" width="15"/>
    <col collapsed="false" customWidth="true" hidden="false" outlineLevel="0" max="22" min="22" style="19" width="12"/>
    <col collapsed="false" customWidth="true" hidden="false" outlineLevel="0" max="23" min="23" style="19" width="40"/>
  </cols>
  <sheetData>
    <row r="1" customFormat="false" ht="42" hidden="false" customHeight="true" outlineLevel="0" collapsed="false">
      <c r="A1" s="31" t="s">
        <v>185</v>
      </c>
      <c r="B1" s="31" t="s">
        <v>186</v>
      </c>
      <c r="C1" s="31" t="s">
        <v>187</v>
      </c>
      <c r="D1" s="31" t="s">
        <v>188</v>
      </c>
      <c r="E1" s="31" t="s">
        <v>189</v>
      </c>
      <c r="F1" s="31" t="s">
        <v>190</v>
      </c>
      <c r="G1" s="31" t="s">
        <v>191</v>
      </c>
      <c r="H1" s="31" t="s">
        <v>192</v>
      </c>
      <c r="I1" s="31" t="s">
        <v>193</v>
      </c>
      <c r="J1" s="31" t="s">
        <v>194</v>
      </c>
      <c r="K1" s="31" t="s">
        <v>195</v>
      </c>
      <c r="L1" s="31" t="s">
        <v>196</v>
      </c>
      <c r="M1" s="31" t="s">
        <v>197</v>
      </c>
      <c r="N1" s="31" t="s">
        <v>198</v>
      </c>
      <c r="O1" s="31" t="s">
        <v>199</v>
      </c>
      <c r="P1" s="31" t="s">
        <v>200</v>
      </c>
      <c r="Q1" s="31" t="s">
        <v>201</v>
      </c>
      <c r="R1" s="31" t="s">
        <v>202</v>
      </c>
      <c r="S1" s="31" t="s">
        <v>203</v>
      </c>
      <c r="T1" s="31" t="s">
        <v>204</v>
      </c>
      <c r="U1" s="31" t="s">
        <v>205</v>
      </c>
      <c r="V1" s="31" t="s">
        <v>206</v>
      </c>
      <c r="W1" s="31" t="s">
        <v>207</v>
      </c>
    </row>
    <row r="2" customFormat="false" ht="15" hidden="false" customHeight="true" outlineLevel="0" collapsed="false">
      <c r="A2" s="32" t="n">
        <v>1</v>
      </c>
      <c r="B2" s="33" t="s">
        <v>62</v>
      </c>
      <c r="C2" s="33" t="s">
        <v>63</v>
      </c>
      <c r="D2" s="33" t="s">
        <v>64</v>
      </c>
      <c r="E2" s="33" t="s">
        <v>208</v>
      </c>
      <c r="F2" s="32" t="s">
        <v>209</v>
      </c>
      <c r="G2" s="33" t="n">
        <v>8.96</v>
      </c>
      <c r="H2" s="34" t="n">
        <f aca="false">IF(F2="Percentage",G2,IF(OR(F2="CGPA",F2="SGPA"),G2*Assumptions!$B$3,""))</f>
        <v>85.12</v>
      </c>
      <c r="I2" s="32" t="str">
        <f aca="false">IF(AND(ISNUMBER(H2),H2&gt;=Assumptions!$B$4),"Yes","No")</f>
        <v>Yes</v>
      </c>
      <c r="J2" s="34" t="n">
        <f aca="false">IF(I2="Yes",H2,"")</f>
        <v>85.12</v>
      </c>
      <c r="K2" s="32" t="s">
        <v>67</v>
      </c>
      <c r="L2" s="34" t="n">
        <f aca="false">INDEX(Assumptions!$B$10:$B$15,MATCH(K2,Assumptions!$A$10:$A$15,0))</f>
        <v>55</v>
      </c>
      <c r="M2" s="32" t="n">
        <v>2</v>
      </c>
      <c r="N2" s="32" t="n">
        <v>5</v>
      </c>
      <c r="O2" s="32" t="n">
        <v>3</v>
      </c>
      <c r="P2" s="32" t="n">
        <v>3</v>
      </c>
      <c r="Q2" s="32" t="n">
        <v>3</v>
      </c>
      <c r="R2" s="32" t="n">
        <v>3</v>
      </c>
      <c r="S2" s="32" t="n">
        <v>5</v>
      </c>
      <c r="T2" s="32" t="n">
        <v>2</v>
      </c>
      <c r="U2" s="35" t="n">
        <f aca="false">AVERAGE(O2,Q2,R2,S2)</f>
        <v>3.5</v>
      </c>
      <c r="V2" s="32" t="str">
        <f aca="false">IF(U2&lt;Assumptions!$B$5,"Low",IF(U2&gt;=Assumptions!$B$6,"High","Medium"))</f>
        <v>Medium</v>
      </c>
      <c r="W2" s="33" t="s">
        <v>210</v>
      </c>
    </row>
    <row r="3" customFormat="false" ht="15" hidden="false" customHeight="true" outlineLevel="0" collapsed="false">
      <c r="A3" s="32" t="n">
        <v>2</v>
      </c>
      <c r="B3" s="33" t="s">
        <v>62</v>
      </c>
      <c r="C3" s="33" t="s">
        <v>68</v>
      </c>
      <c r="D3" s="33" t="s">
        <v>64</v>
      </c>
      <c r="E3" s="33" t="s">
        <v>114</v>
      </c>
      <c r="F3" s="32" t="s">
        <v>211</v>
      </c>
      <c r="G3" s="33" t="n">
        <v>78</v>
      </c>
      <c r="H3" s="34" t="n">
        <f aca="false">IF(F3="Percentage",G3,IF(OR(F3="CGPA",F3="SGPA"),G3*Assumptions!$B$3,""))</f>
        <v>78</v>
      </c>
      <c r="I3" s="32" t="str">
        <f aca="false">IF(AND(ISNUMBER(H3),H3&gt;=Assumptions!$B$4),"Yes","No")</f>
        <v>Yes</v>
      </c>
      <c r="J3" s="34" t="n">
        <f aca="false">IF(I3="Yes",H3,"")</f>
        <v>78</v>
      </c>
      <c r="K3" s="32" t="s">
        <v>70</v>
      </c>
      <c r="L3" s="34" t="n">
        <f aca="false">INDEX(Assumptions!$B$10:$B$15,MATCH(K3,Assumptions!$A$10:$A$15,0))</f>
        <v>45</v>
      </c>
      <c r="M3" s="32" t="n">
        <v>4</v>
      </c>
      <c r="N3" s="32" t="n">
        <v>6</v>
      </c>
      <c r="O3" s="32" t="n">
        <v>2</v>
      </c>
      <c r="P3" s="32" t="n">
        <v>5</v>
      </c>
      <c r="Q3" s="32" t="n">
        <v>1</v>
      </c>
      <c r="R3" s="32" t="n">
        <v>2</v>
      </c>
      <c r="S3" s="32" t="n">
        <v>4</v>
      </c>
      <c r="T3" s="32" t="n">
        <v>1</v>
      </c>
      <c r="U3" s="35" t="n">
        <f aca="false">AVERAGE(O3,Q3,R3,S3)</f>
        <v>2.25</v>
      </c>
      <c r="V3" s="32" t="str">
        <f aca="false">IF(U3&lt;Assumptions!$B$5,"Low",IF(U3&gt;=Assumptions!$B$6,"High","Medium"))</f>
        <v>Low</v>
      </c>
      <c r="W3" s="33" t="s">
        <v>212</v>
      </c>
    </row>
    <row r="4" customFormat="false" ht="15" hidden="false" customHeight="true" outlineLevel="0" collapsed="false">
      <c r="A4" s="32" t="n">
        <v>3</v>
      </c>
      <c r="B4" s="33" t="s">
        <v>62</v>
      </c>
      <c r="C4" s="33" t="s">
        <v>71</v>
      </c>
      <c r="D4" s="33" t="s">
        <v>64</v>
      </c>
      <c r="E4" s="33" t="s">
        <v>208</v>
      </c>
      <c r="F4" s="32" t="s">
        <v>211</v>
      </c>
      <c r="G4" s="33" t="n">
        <v>70</v>
      </c>
      <c r="H4" s="34" t="n">
        <f aca="false">IF(F4="Percentage",G4,IF(OR(F4="CGPA",F4="SGPA"),G4*Assumptions!$B$3,""))</f>
        <v>70</v>
      </c>
      <c r="I4" s="32" t="str">
        <f aca="false">IF(AND(ISNUMBER(H4),H4&gt;=Assumptions!$B$4),"Yes","No")</f>
        <v>Yes</v>
      </c>
      <c r="J4" s="34" t="n">
        <f aca="false">IF(I4="Yes",H4,"")</f>
        <v>70</v>
      </c>
      <c r="K4" s="32" t="s">
        <v>72</v>
      </c>
      <c r="L4" s="34" t="n">
        <f aca="false">INDEX(Assumptions!$B$10:$B$15,MATCH(K4,Assumptions!$A$10:$A$15,0))</f>
        <v>65</v>
      </c>
      <c r="M4" s="32" t="n">
        <v>1</v>
      </c>
      <c r="N4" s="32" t="n">
        <v>2</v>
      </c>
      <c r="O4" s="32" t="n">
        <v>1</v>
      </c>
      <c r="P4" s="32" t="n">
        <v>3</v>
      </c>
      <c r="Q4" s="32" t="n">
        <v>1</v>
      </c>
      <c r="R4" s="32" t="n">
        <v>2</v>
      </c>
      <c r="S4" s="32" t="n">
        <v>3</v>
      </c>
      <c r="T4" s="32" t="n">
        <v>2</v>
      </c>
      <c r="U4" s="35" t="n">
        <f aca="false">AVERAGE(O4,Q4,R4,S4)</f>
        <v>1.75</v>
      </c>
      <c r="V4" s="32" t="str">
        <f aca="false">IF(U4&lt;Assumptions!$B$5,"Low",IF(U4&gt;=Assumptions!$B$6,"High","Medium"))</f>
        <v>Low</v>
      </c>
      <c r="W4" s="33" t="s">
        <v>212</v>
      </c>
    </row>
    <row r="5" customFormat="false" ht="15" hidden="false" customHeight="true" outlineLevel="0" collapsed="false">
      <c r="A5" s="32" t="n">
        <v>4</v>
      </c>
      <c r="B5" s="33" t="s">
        <v>62</v>
      </c>
      <c r="C5" s="33" t="s">
        <v>73</v>
      </c>
      <c r="D5" s="33" t="s">
        <v>64</v>
      </c>
      <c r="E5" s="33" t="s">
        <v>208</v>
      </c>
      <c r="F5" s="32" t="s">
        <v>211</v>
      </c>
      <c r="G5" s="33" t="n">
        <v>87</v>
      </c>
      <c r="H5" s="34" t="n">
        <f aca="false">IF(F5="Percentage",G5,IF(OR(F5="CGPA",F5="SGPA"),G5*Assumptions!$B$3,""))</f>
        <v>87</v>
      </c>
      <c r="I5" s="32" t="str">
        <f aca="false">IF(AND(ISNUMBER(H5),H5&gt;=Assumptions!$B$4),"Yes","No")</f>
        <v>Yes</v>
      </c>
      <c r="J5" s="34" t="n">
        <f aca="false">IF(I5="Yes",H5,"")</f>
        <v>87</v>
      </c>
      <c r="K5" s="32" t="s">
        <v>74</v>
      </c>
      <c r="L5" s="34" t="n">
        <f aca="false">INDEX(Assumptions!$B$10:$B$15,MATCH(K5,Assumptions!$A$10:$A$15,0))</f>
        <v>75</v>
      </c>
      <c r="M5" s="32" t="n">
        <v>5</v>
      </c>
      <c r="N5" s="32" t="n">
        <v>6</v>
      </c>
      <c r="O5" s="32" t="n">
        <v>6</v>
      </c>
      <c r="P5" s="32" t="n">
        <v>6</v>
      </c>
      <c r="Q5" s="32" t="n">
        <v>5</v>
      </c>
      <c r="R5" s="32" t="n">
        <v>4</v>
      </c>
      <c r="S5" s="32" t="n">
        <v>6</v>
      </c>
      <c r="T5" s="32" t="n">
        <v>4</v>
      </c>
      <c r="U5" s="35" t="n">
        <f aca="false">AVERAGE(O5,Q5,R5,S5)</f>
        <v>5.25</v>
      </c>
      <c r="V5" s="32" t="str">
        <f aca="false">IF(U5&lt;Assumptions!$B$5,"Low",IF(U5&gt;=Assumptions!$B$6,"High","Medium"))</f>
        <v>High</v>
      </c>
      <c r="W5" s="33" t="s">
        <v>212</v>
      </c>
    </row>
    <row r="6" customFormat="false" ht="15" hidden="false" customHeight="true" outlineLevel="0" collapsed="false">
      <c r="A6" s="32" t="n">
        <v>5</v>
      </c>
      <c r="B6" s="33" t="s">
        <v>62</v>
      </c>
      <c r="C6" s="33" t="s">
        <v>213</v>
      </c>
      <c r="D6" s="33" t="s">
        <v>76</v>
      </c>
      <c r="E6" s="33" t="s">
        <v>77</v>
      </c>
      <c r="F6" s="32" t="s">
        <v>214</v>
      </c>
      <c r="G6" s="33"/>
      <c r="H6" s="34" t="str">
        <f aca="false">IF(F6="Percentage",G6,IF(OR(F6="CGPA",F6="SGPA"),G6*Assumptions!$B$3,""))</f>
        <v/>
      </c>
      <c r="I6" s="32" t="str">
        <f aca="false">IF(AND(ISNUMBER(H6),H6&gt;=Assumptions!$B$4),"Yes","No")</f>
        <v>No</v>
      </c>
      <c r="J6" s="34" t="str">
        <f aca="false">IF(I6="Yes",H6,"")</f>
        <v/>
      </c>
      <c r="K6" s="32" t="s">
        <v>79</v>
      </c>
      <c r="L6" s="34" t="n">
        <f aca="false">INDEX(Assumptions!$B$10:$B$15,MATCH(K6,Assumptions!$A$10:$A$15,0))</f>
        <v>95</v>
      </c>
      <c r="M6" s="32" t="n">
        <v>5</v>
      </c>
      <c r="N6" s="32" t="n">
        <v>4</v>
      </c>
      <c r="O6" s="32" t="n">
        <v>3</v>
      </c>
      <c r="P6" s="32" t="n">
        <v>5</v>
      </c>
      <c r="Q6" s="32" t="n">
        <v>5</v>
      </c>
      <c r="R6" s="32" t="n">
        <v>4</v>
      </c>
      <c r="S6" s="32" t="n">
        <v>4</v>
      </c>
      <c r="T6" s="32" t="n">
        <v>6</v>
      </c>
      <c r="U6" s="35" t="n">
        <f aca="false">AVERAGE(O6,Q6,R6,S6)</f>
        <v>4</v>
      </c>
      <c r="V6" s="32" t="str">
        <f aca="false">IF(U6&lt;Assumptions!$B$5,"Low",IF(U6&gt;=Assumptions!$B$6,"High","Medium"))</f>
        <v>Medium</v>
      </c>
      <c r="W6" s="33" t="s">
        <v>215</v>
      </c>
    </row>
    <row r="7" customFormat="false" ht="15" hidden="false" customHeight="true" outlineLevel="0" collapsed="false">
      <c r="A7" s="32" t="n">
        <v>6</v>
      </c>
      <c r="B7" s="33" t="s">
        <v>80</v>
      </c>
      <c r="C7" s="33" t="s">
        <v>71</v>
      </c>
      <c r="D7" s="33" t="s">
        <v>76</v>
      </c>
      <c r="E7" s="33" t="s">
        <v>106</v>
      </c>
      <c r="F7" s="32" t="s">
        <v>214</v>
      </c>
      <c r="G7" s="33"/>
      <c r="H7" s="34" t="str">
        <f aca="false">IF(F7="Percentage",G7,IF(OR(F7="CGPA",F7="SGPA"),G7*Assumptions!$B$3,""))</f>
        <v/>
      </c>
      <c r="I7" s="32" t="str">
        <f aca="false">IF(AND(ISNUMBER(H7),H7&gt;=Assumptions!$B$4),"Yes","No")</f>
        <v>No</v>
      </c>
      <c r="J7" s="34" t="str">
        <f aca="false">IF(I7="Yes",H7,"")</f>
        <v/>
      </c>
      <c r="K7" s="32" t="s">
        <v>74</v>
      </c>
      <c r="L7" s="34" t="n">
        <f aca="false">INDEX(Assumptions!$B$10:$B$15,MATCH(K7,Assumptions!$A$10:$A$15,0))</f>
        <v>75</v>
      </c>
      <c r="M7" s="32" t="n">
        <v>4</v>
      </c>
      <c r="N7" s="32" t="n">
        <v>4</v>
      </c>
      <c r="O7" s="32" t="n">
        <v>2</v>
      </c>
      <c r="P7" s="32" t="n">
        <v>4</v>
      </c>
      <c r="Q7" s="32" t="n">
        <v>3</v>
      </c>
      <c r="R7" s="32" t="n">
        <v>3</v>
      </c>
      <c r="S7" s="32" t="n">
        <v>2</v>
      </c>
      <c r="T7" s="32" t="n">
        <v>4</v>
      </c>
      <c r="U7" s="35" t="n">
        <f aca="false">AVERAGE(O7,Q7,R7,S7)</f>
        <v>2.5</v>
      </c>
      <c r="V7" s="32" t="str">
        <f aca="false">IF(U7&lt;Assumptions!$B$5,"Low",IF(U7&gt;=Assumptions!$B$6,"High","Medium"))</f>
        <v>Low</v>
      </c>
      <c r="W7" s="33" t="s">
        <v>216</v>
      </c>
    </row>
    <row r="8" customFormat="false" ht="15" hidden="false" customHeight="true" outlineLevel="0" collapsed="false">
      <c r="A8" s="32" t="n">
        <v>7</v>
      </c>
      <c r="B8" s="33" t="s">
        <v>62</v>
      </c>
      <c r="C8" s="33" t="s">
        <v>213</v>
      </c>
      <c r="D8" s="33" t="s">
        <v>76</v>
      </c>
      <c r="E8" s="33" t="s">
        <v>106</v>
      </c>
      <c r="F8" s="32" t="s">
        <v>211</v>
      </c>
      <c r="G8" s="33" t="n">
        <v>43</v>
      </c>
      <c r="H8" s="34" t="n">
        <f aca="false">IF(F8="Percentage",G8,IF(OR(F8="CGPA",F8="SGPA"),G8*Assumptions!$B$3,""))</f>
        <v>43</v>
      </c>
      <c r="I8" s="32" t="str">
        <f aca="false">IF(AND(ISNUMBER(H8),H8&gt;=Assumptions!$B$4),"Yes","No")</f>
        <v>Yes</v>
      </c>
      <c r="J8" s="34" t="n">
        <f aca="false">IF(I8="Yes",H8,"")</f>
        <v>43</v>
      </c>
      <c r="K8" s="32" t="s">
        <v>84</v>
      </c>
      <c r="L8" s="34" t="n">
        <f aca="false">INDEX(Assumptions!$B$10:$B$15,MATCH(K8,Assumptions!$A$10:$A$15,0))</f>
        <v>85</v>
      </c>
      <c r="M8" s="32" t="n">
        <v>4</v>
      </c>
      <c r="N8" s="32" t="n">
        <v>4</v>
      </c>
      <c r="O8" s="32" t="n">
        <v>3</v>
      </c>
      <c r="P8" s="32" t="n">
        <v>4</v>
      </c>
      <c r="Q8" s="32" t="n">
        <v>5</v>
      </c>
      <c r="R8" s="32" t="n">
        <v>3</v>
      </c>
      <c r="S8" s="32" t="n">
        <v>3</v>
      </c>
      <c r="T8" s="32" t="n">
        <v>5</v>
      </c>
      <c r="U8" s="35" t="n">
        <f aca="false">AVERAGE(O8,Q8,R8,S8)</f>
        <v>3.5</v>
      </c>
      <c r="V8" s="32" t="str">
        <f aca="false">IF(U8&lt;Assumptions!$B$5,"Low",IF(U8&gt;=Assumptions!$B$6,"High","Medium"))</f>
        <v>Medium</v>
      </c>
      <c r="W8" s="33" t="s">
        <v>217</v>
      </c>
    </row>
    <row r="9" customFormat="false" ht="15" hidden="false" customHeight="true" outlineLevel="0" collapsed="false">
      <c r="A9" s="32" t="n">
        <v>8</v>
      </c>
      <c r="B9" s="33" t="s">
        <v>62</v>
      </c>
      <c r="C9" s="33" t="s">
        <v>68</v>
      </c>
      <c r="D9" s="33" t="s">
        <v>64</v>
      </c>
      <c r="E9" s="33" t="s">
        <v>122</v>
      </c>
      <c r="F9" s="32" t="s">
        <v>209</v>
      </c>
      <c r="G9" s="33" t="n">
        <v>6.5</v>
      </c>
      <c r="H9" s="34" t="n">
        <f aca="false">IF(F9="Percentage",G9,IF(OR(F9="CGPA",F9="SGPA"),G9*Assumptions!$B$3,""))</f>
        <v>61.75</v>
      </c>
      <c r="I9" s="32" t="str">
        <f aca="false">IF(AND(ISNUMBER(H9),H9&gt;=Assumptions!$B$4),"Yes","No")</f>
        <v>Yes</v>
      </c>
      <c r="J9" s="34" t="n">
        <f aca="false">IF(I9="Yes",H9,"")</f>
        <v>61.75</v>
      </c>
      <c r="K9" s="32" t="s">
        <v>70</v>
      </c>
      <c r="L9" s="34" t="n">
        <f aca="false">INDEX(Assumptions!$B$10:$B$15,MATCH(K9,Assumptions!$A$10:$A$15,0))</f>
        <v>45</v>
      </c>
      <c r="M9" s="32" t="n">
        <v>3</v>
      </c>
      <c r="N9" s="32" t="n">
        <v>4</v>
      </c>
      <c r="O9" s="32" t="n">
        <v>2</v>
      </c>
      <c r="P9" s="32" t="n">
        <v>4</v>
      </c>
      <c r="Q9" s="32" t="n">
        <v>3</v>
      </c>
      <c r="R9" s="32" t="n">
        <v>2</v>
      </c>
      <c r="S9" s="32" t="n">
        <v>5</v>
      </c>
      <c r="T9" s="32" t="n">
        <v>4</v>
      </c>
      <c r="U9" s="35" t="n">
        <f aca="false">AVERAGE(O9,Q9,R9,S9)</f>
        <v>3</v>
      </c>
      <c r="V9" s="32" t="str">
        <f aca="false">IF(U9&lt;Assumptions!$B$5,"Low",IF(U9&gt;=Assumptions!$B$6,"High","Medium"))</f>
        <v>Low</v>
      </c>
      <c r="W9" s="33" t="s">
        <v>210</v>
      </c>
    </row>
    <row r="10" customFormat="false" ht="15" hidden="false" customHeight="true" outlineLevel="0" collapsed="false">
      <c r="A10" s="32" t="n">
        <v>9</v>
      </c>
      <c r="B10" s="33" t="s">
        <v>62</v>
      </c>
      <c r="C10" s="33" t="s">
        <v>87</v>
      </c>
      <c r="D10" s="33" t="s">
        <v>76</v>
      </c>
      <c r="E10" s="33" t="s">
        <v>106</v>
      </c>
      <c r="F10" s="32" t="s">
        <v>211</v>
      </c>
      <c r="G10" s="33" t="n">
        <v>60</v>
      </c>
      <c r="H10" s="34" t="n">
        <f aca="false">IF(F10="Percentage",G10,IF(OR(F10="CGPA",F10="SGPA"),G10*Assumptions!$B$3,""))</f>
        <v>60</v>
      </c>
      <c r="I10" s="32" t="str">
        <f aca="false">IF(AND(ISNUMBER(H10),H10&gt;=Assumptions!$B$4),"Yes","No")</f>
        <v>Yes</v>
      </c>
      <c r="J10" s="34" t="n">
        <f aca="false">IF(I10="Yes",H10,"")</f>
        <v>60</v>
      </c>
      <c r="K10" s="32" t="s">
        <v>72</v>
      </c>
      <c r="L10" s="34" t="n">
        <f aca="false">INDEX(Assumptions!$B$10:$B$15,MATCH(K10,Assumptions!$A$10:$A$15,0))</f>
        <v>65</v>
      </c>
      <c r="M10" s="32" t="n">
        <v>3</v>
      </c>
      <c r="N10" s="32" t="n">
        <v>3</v>
      </c>
      <c r="O10" s="32" t="n">
        <v>2</v>
      </c>
      <c r="P10" s="32" t="n">
        <v>4</v>
      </c>
      <c r="Q10" s="32" t="n">
        <v>4</v>
      </c>
      <c r="R10" s="32" t="n">
        <v>3</v>
      </c>
      <c r="S10" s="32" t="n">
        <v>5</v>
      </c>
      <c r="T10" s="32" t="n">
        <v>4</v>
      </c>
      <c r="U10" s="35" t="n">
        <f aca="false">AVERAGE(O10,Q10,R10,S10)</f>
        <v>3.5</v>
      </c>
      <c r="V10" s="32" t="str">
        <f aca="false">IF(U10&lt;Assumptions!$B$5,"Low",IF(U10&gt;=Assumptions!$B$6,"High","Medium"))</f>
        <v>Medium</v>
      </c>
      <c r="W10" s="33" t="s">
        <v>212</v>
      </c>
    </row>
    <row r="11" customFormat="false" ht="15" hidden="false" customHeight="true" outlineLevel="0" collapsed="false">
      <c r="A11" s="32" t="n">
        <v>10</v>
      </c>
      <c r="B11" s="33" t="s">
        <v>62</v>
      </c>
      <c r="C11" s="33" t="s">
        <v>63</v>
      </c>
      <c r="D11" s="33" t="s">
        <v>64</v>
      </c>
      <c r="E11" s="33" t="s">
        <v>122</v>
      </c>
      <c r="F11" s="32" t="s">
        <v>211</v>
      </c>
      <c r="G11" s="33" t="n">
        <v>64</v>
      </c>
      <c r="H11" s="34" t="n">
        <f aca="false">IF(F11="Percentage",G11,IF(OR(F11="CGPA",F11="SGPA"),G11*Assumptions!$B$3,""))</f>
        <v>64</v>
      </c>
      <c r="I11" s="32" t="str">
        <f aca="false">IF(AND(ISNUMBER(H11),H11&gt;=Assumptions!$B$4),"Yes","No")</f>
        <v>Yes</v>
      </c>
      <c r="J11" s="34" t="n">
        <f aca="false">IF(I11="Yes",H11,"")</f>
        <v>64</v>
      </c>
      <c r="K11" s="32" t="s">
        <v>72</v>
      </c>
      <c r="L11" s="34" t="n">
        <f aca="false">INDEX(Assumptions!$B$10:$B$15,MATCH(K11,Assumptions!$A$10:$A$15,0))</f>
        <v>65</v>
      </c>
      <c r="M11" s="32" t="n">
        <v>5</v>
      </c>
      <c r="N11" s="32" t="n">
        <v>6</v>
      </c>
      <c r="O11" s="32" t="n">
        <v>5</v>
      </c>
      <c r="P11" s="32" t="n">
        <v>6</v>
      </c>
      <c r="Q11" s="32" t="n">
        <v>2</v>
      </c>
      <c r="R11" s="32" t="n">
        <v>5</v>
      </c>
      <c r="S11" s="32" t="n">
        <v>6</v>
      </c>
      <c r="T11" s="32" t="n">
        <v>6</v>
      </c>
      <c r="U11" s="35" t="n">
        <f aca="false">AVERAGE(O11,Q11,R11,S11)</f>
        <v>4.5</v>
      </c>
      <c r="V11" s="32" t="str">
        <f aca="false">IF(U11&lt;Assumptions!$B$5,"Low",IF(U11&gt;=Assumptions!$B$6,"High","Medium"))</f>
        <v>High</v>
      </c>
      <c r="W11" s="33" t="s">
        <v>212</v>
      </c>
    </row>
    <row r="12" customFormat="false" ht="15" hidden="false" customHeight="true" outlineLevel="0" collapsed="false">
      <c r="A12" s="32" t="n">
        <v>11</v>
      </c>
      <c r="B12" s="33" t="s">
        <v>80</v>
      </c>
      <c r="C12" s="33" t="s">
        <v>71</v>
      </c>
      <c r="D12" s="33" t="s">
        <v>64</v>
      </c>
      <c r="E12" s="33" t="s">
        <v>122</v>
      </c>
      <c r="F12" s="32" t="s">
        <v>218</v>
      </c>
      <c r="G12" s="33" t="n">
        <v>6.8</v>
      </c>
      <c r="H12" s="34" t="n">
        <f aca="false">IF(F12="Percentage",G12,IF(OR(F12="CGPA",F12="SGPA"),G12*Assumptions!$B$3,""))</f>
        <v>64.6</v>
      </c>
      <c r="I12" s="32" t="str">
        <f aca="false">IF(AND(ISNUMBER(H12),H12&gt;=Assumptions!$B$4),"Yes","No")</f>
        <v>Yes</v>
      </c>
      <c r="J12" s="34" t="n">
        <f aca="false">IF(I12="Yes",H12,"")</f>
        <v>64.6</v>
      </c>
      <c r="K12" s="32" t="s">
        <v>67</v>
      </c>
      <c r="L12" s="34" t="n">
        <f aca="false">INDEX(Assumptions!$B$10:$B$15,MATCH(K12,Assumptions!$A$10:$A$15,0))</f>
        <v>55</v>
      </c>
      <c r="M12" s="32" t="n">
        <v>2</v>
      </c>
      <c r="N12" s="32" t="n">
        <v>5</v>
      </c>
      <c r="O12" s="32" t="n">
        <v>5</v>
      </c>
      <c r="P12" s="32" t="n">
        <v>5</v>
      </c>
      <c r="Q12" s="32" t="n">
        <v>5</v>
      </c>
      <c r="R12" s="32" t="n">
        <v>5</v>
      </c>
      <c r="S12" s="32" t="n">
        <v>5</v>
      </c>
      <c r="T12" s="32" t="n">
        <v>5</v>
      </c>
      <c r="U12" s="35" t="n">
        <f aca="false">AVERAGE(O12,Q12,R12,S12)</f>
        <v>5</v>
      </c>
      <c r="V12" s="32" t="str">
        <f aca="false">IF(U12&lt;Assumptions!$B$5,"Low",IF(U12&gt;=Assumptions!$B$6,"High","Medium"))</f>
        <v>High</v>
      </c>
      <c r="W12" s="33" t="s">
        <v>210</v>
      </c>
    </row>
    <row r="13" customFormat="false" ht="15" hidden="false" customHeight="true" outlineLevel="0" collapsed="false">
      <c r="A13" s="32" t="n">
        <v>12</v>
      </c>
      <c r="B13" s="33" t="s">
        <v>62</v>
      </c>
      <c r="C13" s="33" t="s">
        <v>87</v>
      </c>
      <c r="D13" s="33" t="s">
        <v>76</v>
      </c>
      <c r="E13" s="33" t="s">
        <v>90</v>
      </c>
      <c r="F13" s="32" t="s">
        <v>211</v>
      </c>
      <c r="G13" s="33" t="n">
        <v>68</v>
      </c>
      <c r="H13" s="34" t="n">
        <f aca="false">IF(F13="Percentage",G13,IF(OR(F13="CGPA",F13="SGPA"),G13*Assumptions!$B$3,""))</f>
        <v>68</v>
      </c>
      <c r="I13" s="32" t="str">
        <f aca="false">IF(AND(ISNUMBER(H13),H13&gt;=Assumptions!$B$4),"Yes","No")</f>
        <v>Yes</v>
      </c>
      <c r="J13" s="34" t="n">
        <f aca="false">IF(I13="Yes",H13,"")</f>
        <v>68</v>
      </c>
      <c r="K13" s="32" t="s">
        <v>67</v>
      </c>
      <c r="L13" s="34" t="n">
        <f aca="false">INDEX(Assumptions!$B$10:$B$15,MATCH(K13,Assumptions!$A$10:$A$15,0))</f>
        <v>55</v>
      </c>
      <c r="M13" s="32" t="n">
        <v>3</v>
      </c>
      <c r="N13" s="32" t="n">
        <v>4</v>
      </c>
      <c r="O13" s="32" t="n">
        <v>3</v>
      </c>
      <c r="P13" s="32" t="n">
        <v>5</v>
      </c>
      <c r="Q13" s="32" t="n">
        <v>4</v>
      </c>
      <c r="R13" s="32" t="n">
        <v>3</v>
      </c>
      <c r="S13" s="32" t="n">
        <v>3</v>
      </c>
      <c r="T13" s="32" t="n">
        <v>4</v>
      </c>
      <c r="U13" s="35" t="n">
        <f aca="false">AVERAGE(O13,Q13,R13,S13)</f>
        <v>3.25</v>
      </c>
      <c r="V13" s="32" t="str">
        <f aca="false">IF(U13&lt;Assumptions!$B$5,"Low",IF(U13&gt;=Assumptions!$B$6,"High","Medium"))</f>
        <v>Low</v>
      </c>
      <c r="W13" s="33" t="s">
        <v>219</v>
      </c>
    </row>
    <row r="14" customFormat="false" ht="15" hidden="false" customHeight="true" outlineLevel="0" collapsed="false">
      <c r="A14" s="32" t="n">
        <v>13</v>
      </c>
      <c r="B14" s="33" t="s">
        <v>62</v>
      </c>
      <c r="C14" s="33" t="s">
        <v>63</v>
      </c>
      <c r="D14" s="33" t="s">
        <v>64</v>
      </c>
      <c r="E14" s="33" t="s">
        <v>208</v>
      </c>
      <c r="F14" s="32" t="s">
        <v>211</v>
      </c>
      <c r="G14" s="33" t="n">
        <v>50</v>
      </c>
      <c r="H14" s="34" t="n">
        <f aca="false">IF(F14="Percentage",G14,IF(OR(F14="CGPA",F14="SGPA"),G14*Assumptions!$B$3,""))</f>
        <v>50</v>
      </c>
      <c r="I14" s="32" t="str">
        <f aca="false">IF(AND(ISNUMBER(H14),H14&gt;=Assumptions!$B$4),"Yes","No")</f>
        <v>Yes</v>
      </c>
      <c r="J14" s="34" t="n">
        <f aca="false">IF(I14="Yes",H14,"")</f>
        <v>50</v>
      </c>
      <c r="K14" s="32" t="s">
        <v>67</v>
      </c>
      <c r="L14" s="34" t="n">
        <f aca="false">INDEX(Assumptions!$B$10:$B$15,MATCH(K14,Assumptions!$A$10:$A$15,0))</f>
        <v>55</v>
      </c>
      <c r="M14" s="32" t="n">
        <v>6</v>
      </c>
      <c r="N14" s="32" t="n">
        <v>4</v>
      </c>
      <c r="O14" s="32" t="n">
        <v>6</v>
      </c>
      <c r="P14" s="32" t="n">
        <v>6</v>
      </c>
      <c r="Q14" s="32" t="n">
        <v>6</v>
      </c>
      <c r="R14" s="32" t="n">
        <v>6</v>
      </c>
      <c r="S14" s="32" t="n">
        <v>6</v>
      </c>
      <c r="T14" s="32" t="n">
        <v>1</v>
      </c>
      <c r="U14" s="35" t="n">
        <f aca="false">AVERAGE(O14,Q14,R14,S14)</f>
        <v>6</v>
      </c>
      <c r="V14" s="32" t="str">
        <f aca="false">IF(U14&lt;Assumptions!$B$5,"Low",IF(U14&gt;=Assumptions!$B$6,"High","Medium"))</f>
        <v>High</v>
      </c>
      <c r="W14" s="33" t="s">
        <v>212</v>
      </c>
    </row>
    <row r="15" customFormat="false" ht="15" hidden="false" customHeight="true" outlineLevel="0" collapsed="false">
      <c r="A15" s="32" t="n">
        <v>14</v>
      </c>
      <c r="B15" s="33" t="s">
        <v>62</v>
      </c>
      <c r="C15" s="33" t="s">
        <v>63</v>
      </c>
      <c r="D15" s="33" t="s">
        <v>92</v>
      </c>
      <c r="E15" s="33" t="s">
        <v>157</v>
      </c>
      <c r="F15" s="32" t="s">
        <v>211</v>
      </c>
      <c r="G15" s="33" t="n">
        <v>70</v>
      </c>
      <c r="H15" s="34" t="n">
        <f aca="false">IF(F15="Percentage",G15,IF(OR(F15="CGPA",F15="SGPA"),G15*Assumptions!$B$3,""))</f>
        <v>70</v>
      </c>
      <c r="I15" s="32" t="str">
        <f aca="false">IF(AND(ISNUMBER(H15),H15&gt;=Assumptions!$B$4),"Yes","No")</f>
        <v>Yes</v>
      </c>
      <c r="J15" s="34" t="n">
        <f aca="false">IF(I15="Yes",H15,"")</f>
        <v>70</v>
      </c>
      <c r="K15" s="32" t="s">
        <v>74</v>
      </c>
      <c r="L15" s="34" t="n">
        <f aca="false">INDEX(Assumptions!$B$10:$B$15,MATCH(K15,Assumptions!$A$10:$A$15,0))</f>
        <v>75</v>
      </c>
      <c r="M15" s="32" t="n">
        <v>5</v>
      </c>
      <c r="N15" s="32" t="n">
        <v>6</v>
      </c>
      <c r="O15" s="32" t="n">
        <v>6</v>
      </c>
      <c r="P15" s="32" t="n">
        <v>6</v>
      </c>
      <c r="Q15" s="32" t="n">
        <v>6</v>
      </c>
      <c r="R15" s="32" t="n">
        <v>6</v>
      </c>
      <c r="S15" s="32" t="n">
        <v>6</v>
      </c>
      <c r="T15" s="32" t="n">
        <v>1</v>
      </c>
      <c r="U15" s="35" t="n">
        <f aca="false">AVERAGE(O15,Q15,R15,S15)</f>
        <v>6</v>
      </c>
      <c r="V15" s="32" t="str">
        <f aca="false">IF(U15&lt;Assumptions!$B$5,"Low",IF(U15&gt;=Assumptions!$B$6,"High","Medium"))</f>
        <v>High</v>
      </c>
      <c r="W15" s="33" t="s">
        <v>212</v>
      </c>
    </row>
    <row r="16" customFormat="false" ht="15" hidden="false" customHeight="true" outlineLevel="0" collapsed="false">
      <c r="A16" s="32" t="n">
        <v>15</v>
      </c>
      <c r="B16" s="33" t="s">
        <v>62</v>
      </c>
      <c r="C16" s="33" t="s">
        <v>63</v>
      </c>
      <c r="D16" s="33" t="s">
        <v>76</v>
      </c>
      <c r="E16" s="33" t="s">
        <v>94</v>
      </c>
      <c r="F16" s="32" t="s">
        <v>211</v>
      </c>
      <c r="G16" s="33" t="n">
        <v>67</v>
      </c>
      <c r="H16" s="34" t="n">
        <f aca="false">IF(F16="Percentage",G16,IF(OR(F16="CGPA",F16="SGPA"),G16*Assumptions!$B$3,""))</f>
        <v>67</v>
      </c>
      <c r="I16" s="32" t="str">
        <f aca="false">IF(AND(ISNUMBER(H16),H16&gt;=Assumptions!$B$4),"Yes","No")</f>
        <v>Yes</v>
      </c>
      <c r="J16" s="34" t="n">
        <f aca="false">IF(I16="Yes",H16,"")</f>
        <v>67</v>
      </c>
      <c r="K16" s="32" t="s">
        <v>79</v>
      </c>
      <c r="L16" s="34" t="n">
        <f aca="false">INDEX(Assumptions!$B$10:$B$15,MATCH(K16,Assumptions!$A$10:$A$15,0))</f>
        <v>95</v>
      </c>
      <c r="M16" s="32" t="n">
        <v>4</v>
      </c>
      <c r="N16" s="32" t="n">
        <v>5</v>
      </c>
      <c r="O16" s="32" t="n">
        <v>3</v>
      </c>
      <c r="P16" s="32" t="n">
        <v>6</v>
      </c>
      <c r="Q16" s="32" t="n">
        <v>4</v>
      </c>
      <c r="R16" s="32" t="n">
        <v>5</v>
      </c>
      <c r="S16" s="32" t="n">
        <v>5</v>
      </c>
      <c r="T16" s="32" t="n">
        <v>5</v>
      </c>
      <c r="U16" s="35" t="n">
        <f aca="false">AVERAGE(O16,Q16,R16,S16)</f>
        <v>4.25</v>
      </c>
      <c r="V16" s="32" t="str">
        <f aca="false">IF(U16&lt;Assumptions!$B$5,"Low",IF(U16&gt;=Assumptions!$B$6,"High","Medium"))</f>
        <v>Medium</v>
      </c>
      <c r="W16" s="33" t="s">
        <v>220</v>
      </c>
    </row>
    <row r="17" customFormat="false" ht="15" hidden="false" customHeight="true" outlineLevel="0" collapsed="false">
      <c r="A17" s="32" t="n">
        <v>16</v>
      </c>
      <c r="B17" s="33" t="s">
        <v>95</v>
      </c>
      <c r="C17" s="33" t="s">
        <v>96</v>
      </c>
      <c r="D17" s="33" t="s">
        <v>97</v>
      </c>
      <c r="E17" s="33" t="s">
        <v>98</v>
      </c>
      <c r="F17" s="32" t="s">
        <v>209</v>
      </c>
      <c r="G17" s="33" t="n">
        <v>9.7</v>
      </c>
      <c r="H17" s="34" t="n">
        <f aca="false">IF(F17="Percentage",G17,IF(OR(F17="CGPA",F17="SGPA"),G17*Assumptions!$B$3,""))</f>
        <v>92.15</v>
      </c>
      <c r="I17" s="32" t="str">
        <f aca="false">IF(AND(ISNUMBER(H17),H17&gt;=Assumptions!$B$4),"Yes","No")</f>
        <v>Yes</v>
      </c>
      <c r="J17" s="34" t="n">
        <f aca="false">IF(I17="Yes",H17,"")</f>
        <v>92.15</v>
      </c>
      <c r="K17" s="32" t="s">
        <v>74</v>
      </c>
      <c r="L17" s="34" t="n">
        <f aca="false">INDEX(Assumptions!$B$10:$B$15,MATCH(K17,Assumptions!$A$10:$A$15,0))</f>
        <v>75</v>
      </c>
      <c r="M17" s="32" t="n">
        <v>3</v>
      </c>
      <c r="N17" s="32" t="n">
        <v>4</v>
      </c>
      <c r="O17" s="32" t="n">
        <v>5</v>
      </c>
      <c r="P17" s="32" t="n">
        <v>6</v>
      </c>
      <c r="Q17" s="32" t="n">
        <v>2</v>
      </c>
      <c r="R17" s="32" t="n">
        <v>4</v>
      </c>
      <c r="S17" s="32" t="n">
        <v>5</v>
      </c>
      <c r="T17" s="32" t="n">
        <v>6</v>
      </c>
      <c r="U17" s="35" t="n">
        <f aca="false">AVERAGE(O17,Q17,R17,S17)</f>
        <v>4</v>
      </c>
      <c r="V17" s="32" t="str">
        <f aca="false">IF(U17&lt;Assumptions!$B$5,"Low",IF(U17&gt;=Assumptions!$B$6,"High","Medium"))</f>
        <v>Medium</v>
      </c>
      <c r="W17" s="33" t="s">
        <v>221</v>
      </c>
    </row>
    <row r="18" customFormat="false" ht="15" hidden="false" customHeight="true" outlineLevel="0" collapsed="false">
      <c r="A18" s="32" t="n">
        <v>17</v>
      </c>
      <c r="B18" s="33" t="s">
        <v>62</v>
      </c>
      <c r="C18" s="33" t="s">
        <v>71</v>
      </c>
      <c r="D18" s="33" t="s">
        <v>76</v>
      </c>
      <c r="E18" s="33" t="s">
        <v>222</v>
      </c>
      <c r="F18" s="32" t="s">
        <v>209</v>
      </c>
      <c r="G18" s="33" t="n">
        <v>8.01</v>
      </c>
      <c r="H18" s="34" t="n">
        <f aca="false">IF(F18="Percentage",G18,IF(OR(F18="CGPA",F18="SGPA"),G18*Assumptions!$B$3,""))</f>
        <v>76.095</v>
      </c>
      <c r="I18" s="32" t="str">
        <f aca="false">IF(AND(ISNUMBER(H18),H18&gt;=Assumptions!$B$4),"Yes","No")</f>
        <v>Yes</v>
      </c>
      <c r="J18" s="34" t="n">
        <f aca="false">IF(I18="Yes",H18,"")</f>
        <v>76.095</v>
      </c>
      <c r="K18" s="32" t="s">
        <v>74</v>
      </c>
      <c r="L18" s="34" t="n">
        <f aca="false">INDEX(Assumptions!$B$10:$B$15,MATCH(K18,Assumptions!$A$10:$A$15,0))</f>
        <v>75</v>
      </c>
      <c r="M18" s="32" t="n">
        <v>6</v>
      </c>
      <c r="N18" s="32" t="n">
        <v>6</v>
      </c>
      <c r="O18" s="32" t="n">
        <v>5</v>
      </c>
      <c r="P18" s="32" t="n">
        <v>4</v>
      </c>
      <c r="Q18" s="32" t="n">
        <v>5</v>
      </c>
      <c r="R18" s="32" t="n">
        <v>5</v>
      </c>
      <c r="S18" s="32" t="n">
        <v>5</v>
      </c>
      <c r="T18" s="32" t="n">
        <v>4</v>
      </c>
      <c r="U18" s="35" t="n">
        <f aca="false">AVERAGE(O18,Q18,R18,S18)</f>
        <v>5</v>
      </c>
      <c r="V18" s="32" t="str">
        <f aca="false">IF(U18&lt;Assumptions!$B$5,"Low",IF(U18&gt;=Assumptions!$B$6,"High","Medium"))</f>
        <v>High</v>
      </c>
      <c r="W18" s="33" t="s">
        <v>210</v>
      </c>
    </row>
    <row r="19" customFormat="false" ht="15" hidden="false" customHeight="true" outlineLevel="0" collapsed="false">
      <c r="A19" s="32" t="n">
        <v>18</v>
      </c>
      <c r="B19" s="33" t="s">
        <v>80</v>
      </c>
      <c r="C19" s="33" t="s">
        <v>73</v>
      </c>
      <c r="D19" s="33" t="s">
        <v>76</v>
      </c>
      <c r="E19" s="33" t="s">
        <v>223</v>
      </c>
      <c r="F19" s="32" t="s">
        <v>209</v>
      </c>
      <c r="G19" s="33" t="n">
        <v>2</v>
      </c>
      <c r="H19" s="34" t="n">
        <f aca="false">IF(F19="Percentage",G19,IF(OR(F19="CGPA",F19="SGPA"),G19*Assumptions!$B$3,""))</f>
        <v>19</v>
      </c>
      <c r="I19" s="32" t="str">
        <f aca="false">IF(AND(ISNUMBER(H19),H19&gt;=Assumptions!$B$4),"Yes","No")</f>
        <v>No</v>
      </c>
      <c r="J19" s="34" t="str">
        <f aca="false">IF(I19="Yes",H19,"")</f>
        <v/>
      </c>
      <c r="K19" s="32" t="s">
        <v>67</v>
      </c>
      <c r="L19" s="34" t="n">
        <f aca="false">INDEX(Assumptions!$B$10:$B$15,MATCH(K19,Assumptions!$A$10:$A$15,0))</f>
        <v>55</v>
      </c>
      <c r="M19" s="32" t="n">
        <v>3</v>
      </c>
      <c r="N19" s="32" t="n">
        <v>2</v>
      </c>
      <c r="O19" s="32" t="n">
        <v>3</v>
      </c>
      <c r="P19" s="32" t="n">
        <v>4</v>
      </c>
      <c r="Q19" s="32" t="n">
        <v>3</v>
      </c>
      <c r="R19" s="32" t="n">
        <v>4</v>
      </c>
      <c r="S19" s="32" t="n">
        <v>2</v>
      </c>
      <c r="T19" s="32" t="n">
        <v>1</v>
      </c>
      <c r="U19" s="35" t="n">
        <f aca="false">AVERAGE(O19,Q19,R19,S19)</f>
        <v>3</v>
      </c>
      <c r="V19" s="32" t="str">
        <f aca="false">IF(U19&lt;Assumptions!$B$5,"Low",IF(U19&gt;=Assumptions!$B$6,"High","Medium"))</f>
        <v>Low</v>
      </c>
      <c r="W19" s="33" t="s">
        <v>224</v>
      </c>
    </row>
    <row r="20" customFormat="false" ht="15" hidden="false" customHeight="true" outlineLevel="0" collapsed="false">
      <c r="A20" s="32" t="n">
        <v>19</v>
      </c>
      <c r="B20" s="33" t="s">
        <v>62</v>
      </c>
      <c r="C20" s="33" t="s">
        <v>71</v>
      </c>
      <c r="D20" s="33" t="s">
        <v>64</v>
      </c>
      <c r="E20" s="33" t="s">
        <v>98</v>
      </c>
      <c r="F20" s="32" t="s">
        <v>211</v>
      </c>
      <c r="G20" s="33" t="n">
        <v>64</v>
      </c>
      <c r="H20" s="34" t="n">
        <f aca="false">IF(F20="Percentage",G20,IF(OR(F20="CGPA",F20="SGPA"),G20*Assumptions!$B$3,""))</f>
        <v>64</v>
      </c>
      <c r="I20" s="32" t="str">
        <f aca="false">IF(AND(ISNUMBER(H20),H20&gt;=Assumptions!$B$4),"Yes","No")</f>
        <v>Yes</v>
      </c>
      <c r="J20" s="34" t="n">
        <f aca="false">IF(I20="Yes",H20,"")</f>
        <v>64</v>
      </c>
      <c r="K20" s="32" t="s">
        <v>72</v>
      </c>
      <c r="L20" s="34" t="n">
        <f aca="false">INDEX(Assumptions!$B$10:$B$15,MATCH(K20,Assumptions!$A$10:$A$15,0))</f>
        <v>65</v>
      </c>
      <c r="M20" s="32" t="n">
        <v>4</v>
      </c>
      <c r="N20" s="32" t="n">
        <v>5</v>
      </c>
      <c r="O20" s="32" t="n">
        <v>4</v>
      </c>
      <c r="P20" s="32" t="n">
        <v>4</v>
      </c>
      <c r="Q20" s="32" t="n">
        <v>3</v>
      </c>
      <c r="R20" s="32" t="n">
        <v>5</v>
      </c>
      <c r="S20" s="32" t="n">
        <v>5</v>
      </c>
      <c r="T20" s="32" t="n">
        <v>2</v>
      </c>
      <c r="U20" s="35" t="n">
        <f aca="false">AVERAGE(O20,Q20,R20,S20)</f>
        <v>4.25</v>
      </c>
      <c r="V20" s="32" t="str">
        <f aca="false">IF(U20&lt;Assumptions!$B$5,"Low",IF(U20&gt;=Assumptions!$B$6,"High","Medium"))</f>
        <v>Medium</v>
      </c>
      <c r="W20" s="33" t="s">
        <v>220</v>
      </c>
    </row>
    <row r="21" customFormat="false" ht="15" hidden="false" customHeight="true" outlineLevel="0" collapsed="false">
      <c r="A21" s="32" t="n">
        <v>20</v>
      </c>
      <c r="B21" s="33" t="s">
        <v>95</v>
      </c>
      <c r="C21" s="33" t="s">
        <v>87</v>
      </c>
      <c r="D21" s="33" t="s">
        <v>92</v>
      </c>
      <c r="E21" s="33" t="s">
        <v>104</v>
      </c>
      <c r="F21" s="32" t="s">
        <v>209</v>
      </c>
      <c r="G21" s="33" t="n">
        <v>6.7</v>
      </c>
      <c r="H21" s="34" t="n">
        <f aca="false">IF(F21="Percentage",G21,IF(OR(F21="CGPA",F21="SGPA"),G21*Assumptions!$B$3,""))</f>
        <v>63.65</v>
      </c>
      <c r="I21" s="32" t="str">
        <f aca="false">IF(AND(ISNUMBER(H21),H21&gt;=Assumptions!$B$4),"Yes","No")</f>
        <v>Yes</v>
      </c>
      <c r="J21" s="34" t="n">
        <f aca="false">IF(I21="Yes",H21,"")</f>
        <v>63.65</v>
      </c>
      <c r="K21" s="32" t="s">
        <v>74</v>
      </c>
      <c r="L21" s="34" t="n">
        <f aca="false">INDEX(Assumptions!$B$10:$B$15,MATCH(K21,Assumptions!$A$10:$A$15,0))</f>
        <v>75</v>
      </c>
      <c r="M21" s="32" t="n">
        <v>6</v>
      </c>
      <c r="N21" s="32" t="n">
        <v>4</v>
      </c>
      <c r="O21" s="32" t="n">
        <v>2</v>
      </c>
      <c r="P21" s="32" t="n">
        <v>1</v>
      </c>
      <c r="Q21" s="32" t="n">
        <v>3</v>
      </c>
      <c r="R21" s="32" t="n">
        <v>1</v>
      </c>
      <c r="S21" s="32" t="n">
        <v>6</v>
      </c>
      <c r="T21" s="32" t="n">
        <v>5</v>
      </c>
      <c r="U21" s="35" t="n">
        <f aca="false">AVERAGE(O21,Q21,R21,S21)</f>
        <v>3</v>
      </c>
      <c r="V21" s="32" t="str">
        <f aca="false">IF(U21&lt;Assumptions!$B$5,"Low",IF(U21&gt;=Assumptions!$B$6,"High","Medium"))</f>
        <v>Low</v>
      </c>
      <c r="W21" s="33" t="s">
        <v>221</v>
      </c>
    </row>
    <row r="22" customFormat="false" ht="15" hidden="false" customHeight="true" outlineLevel="0" collapsed="false">
      <c r="A22" s="32" t="n">
        <v>21</v>
      </c>
      <c r="B22" s="33" t="s">
        <v>80</v>
      </c>
      <c r="C22" s="33" t="s">
        <v>96</v>
      </c>
      <c r="D22" s="33" t="s">
        <v>92</v>
      </c>
      <c r="E22" s="33" t="s">
        <v>106</v>
      </c>
      <c r="F22" s="32" t="s">
        <v>211</v>
      </c>
      <c r="G22" s="33" t="n">
        <v>80</v>
      </c>
      <c r="H22" s="34" t="n">
        <f aca="false">IF(F22="Percentage",G22,IF(OR(F22="CGPA",F22="SGPA"),G22*Assumptions!$B$3,""))</f>
        <v>80</v>
      </c>
      <c r="I22" s="32" t="str">
        <f aca="false">IF(AND(ISNUMBER(H22),H22&gt;=Assumptions!$B$4),"Yes","No")</f>
        <v>Yes</v>
      </c>
      <c r="J22" s="34" t="n">
        <f aca="false">IF(I22="Yes",H22,"")</f>
        <v>80</v>
      </c>
      <c r="K22" s="32" t="s">
        <v>79</v>
      </c>
      <c r="L22" s="34" t="n">
        <f aca="false">INDEX(Assumptions!$B$10:$B$15,MATCH(K22,Assumptions!$A$10:$A$15,0))</f>
        <v>95</v>
      </c>
      <c r="M22" s="32" t="n">
        <v>4</v>
      </c>
      <c r="N22" s="32" t="n">
        <v>3</v>
      </c>
      <c r="O22" s="32" t="n">
        <v>2</v>
      </c>
      <c r="P22" s="32" t="n">
        <v>4</v>
      </c>
      <c r="Q22" s="32" t="n">
        <v>5</v>
      </c>
      <c r="R22" s="32" t="n">
        <v>3</v>
      </c>
      <c r="S22" s="32" t="n">
        <v>2</v>
      </c>
      <c r="T22" s="32" t="n">
        <v>1</v>
      </c>
      <c r="U22" s="35" t="n">
        <f aca="false">AVERAGE(O22,Q22,R22,S22)</f>
        <v>3</v>
      </c>
      <c r="V22" s="32" t="str">
        <f aca="false">IF(U22&lt;Assumptions!$B$5,"Low",IF(U22&gt;=Assumptions!$B$6,"High","Medium"))</f>
        <v>Low</v>
      </c>
      <c r="W22" s="33" t="s">
        <v>220</v>
      </c>
    </row>
    <row r="23" customFormat="false" ht="15" hidden="false" customHeight="true" outlineLevel="0" collapsed="false">
      <c r="A23" s="32" t="n">
        <v>22</v>
      </c>
      <c r="B23" s="33" t="s">
        <v>80</v>
      </c>
      <c r="C23" s="33" t="s">
        <v>87</v>
      </c>
      <c r="D23" s="33" t="s">
        <v>64</v>
      </c>
      <c r="E23" s="33" t="s">
        <v>122</v>
      </c>
      <c r="F23" s="32" t="s">
        <v>211</v>
      </c>
      <c r="G23" s="33" t="n">
        <v>67</v>
      </c>
      <c r="H23" s="34" t="n">
        <f aca="false">IF(F23="Percentage",G23,IF(OR(F23="CGPA",F23="SGPA"),G23*Assumptions!$B$3,""))</f>
        <v>67</v>
      </c>
      <c r="I23" s="32" t="str">
        <f aca="false">IF(AND(ISNUMBER(H23),H23&gt;=Assumptions!$B$4),"Yes","No")</f>
        <v>Yes</v>
      </c>
      <c r="J23" s="34" t="n">
        <f aca="false">IF(I23="Yes",H23,"")</f>
        <v>67</v>
      </c>
      <c r="K23" s="32" t="s">
        <v>72</v>
      </c>
      <c r="L23" s="34" t="n">
        <f aca="false">INDEX(Assumptions!$B$10:$B$15,MATCH(K23,Assumptions!$A$10:$A$15,0))</f>
        <v>65</v>
      </c>
      <c r="M23" s="32" t="n">
        <v>4</v>
      </c>
      <c r="N23" s="32" t="n">
        <v>2</v>
      </c>
      <c r="O23" s="32" t="n">
        <v>3</v>
      </c>
      <c r="P23" s="32" t="n">
        <v>4</v>
      </c>
      <c r="Q23" s="32" t="n">
        <v>3</v>
      </c>
      <c r="R23" s="32" t="n">
        <v>3</v>
      </c>
      <c r="S23" s="32" t="n">
        <v>2</v>
      </c>
      <c r="T23" s="32" t="n">
        <v>4</v>
      </c>
      <c r="U23" s="35" t="n">
        <f aca="false">AVERAGE(O23,Q23,R23,S23)</f>
        <v>2.75</v>
      </c>
      <c r="V23" s="32" t="str">
        <f aca="false">IF(U23&lt;Assumptions!$B$5,"Low",IF(U23&gt;=Assumptions!$B$6,"High","Medium"))</f>
        <v>Low</v>
      </c>
      <c r="W23" s="33" t="s">
        <v>212</v>
      </c>
    </row>
    <row r="24" customFormat="false" ht="15" hidden="false" customHeight="true" outlineLevel="0" collapsed="false">
      <c r="A24" s="32" t="n">
        <v>23</v>
      </c>
      <c r="B24" s="33" t="s">
        <v>62</v>
      </c>
      <c r="C24" s="33" t="s">
        <v>73</v>
      </c>
      <c r="D24" s="33" t="s">
        <v>97</v>
      </c>
      <c r="E24" s="33" t="s">
        <v>208</v>
      </c>
      <c r="F24" s="32" t="s">
        <v>209</v>
      </c>
      <c r="G24" s="33" t="n">
        <v>6.3</v>
      </c>
      <c r="H24" s="34" t="n">
        <f aca="false">IF(F24="Percentage",G24,IF(OR(F24="CGPA",F24="SGPA"),G24*Assumptions!$B$3,""))</f>
        <v>59.85</v>
      </c>
      <c r="I24" s="32" t="str">
        <f aca="false">IF(AND(ISNUMBER(H24),H24&gt;=Assumptions!$B$4),"Yes","No")</f>
        <v>Yes</v>
      </c>
      <c r="J24" s="34" t="n">
        <f aca="false">IF(I24="Yes",H24,"")</f>
        <v>59.85</v>
      </c>
      <c r="K24" s="32" t="s">
        <v>67</v>
      </c>
      <c r="L24" s="34" t="n">
        <f aca="false">INDEX(Assumptions!$B$10:$B$15,MATCH(K24,Assumptions!$A$10:$A$15,0))</f>
        <v>55</v>
      </c>
      <c r="M24" s="32" t="n">
        <v>3</v>
      </c>
      <c r="N24" s="32" t="n">
        <v>2</v>
      </c>
      <c r="O24" s="32" t="n">
        <v>2</v>
      </c>
      <c r="P24" s="32" t="n">
        <v>3</v>
      </c>
      <c r="Q24" s="32" t="n">
        <v>1</v>
      </c>
      <c r="R24" s="32" t="n">
        <v>1</v>
      </c>
      <c r="S24" s="32" t="n">
        <v>2</v>
      </c>
      <c r="T24" s="32" t="n">
        <v>2</v>
      </c>
      <c r="U24" s="35" t="n">
        <f aca="false">AVERAGE(O24,Q24,R24,S24)</f>
        <v>1.5</v>
      </c>
      <c r="V24" s="32" t="str">
        <f aca="false">IF(U24&lt;Assumptions!$B$5,"Low",IF(U24&gt;=Assumptions!$B$6,"High","Medium"))</f>
        <v>Low</v>
      </c>
      <c r="W24" s="33" t="s">
        <v>210</v>
      </c>
    </row>
    <row r="25" customFormat="false" ht="15" hidden="false" customHeight="true" outlineLevel="0" collapsed="false">
      <c r="A25" s="32" t="n">
        <v>24</v>
      </c>
      <c r="B25" s="33" t="s">
        <v>62</v>
      </c>
      <c r="C25" s="33" t="s">
        <v>68</v>
      </c>
      <c r="D25" s="33" t="s">
        <v>64</v>
      </c>
      <c r="E25" s="33" t="s">
        <v>225</v>
      </c>
      <c r="F25" s="32" t="s">
        <v>211</v>
      </c>
      <c r="G25" s="33" t="n">
        <v>65</v>
      </c>
      <c r="H25" s="34" t="n">
        <f aca="false">IF(F25="Percentage",G25,IF(OR(F25="CGPA",F25="SGPA"),G25*Assumptions!$B$3,""))</f>
        <v>65</v>
      </c>
      <c r="I25" s="32" t="str">
        <f aca="false">IF(AND(ISNUMBER(H25),H25&gt;=Assumptions!$B$4),"Yes","No")</f>
        <v>Yes</v>
      </c>
      <c r="J25" s="34" t="n">
        <f aca="false">IF(I25="Yes",H25,"")</f>
        <v>65</v>
      </c>
      <c r="K25" s="32" t="s">
        <v>70</v>
      </c>
      <c r="L25" s="34" t="n">
        <f aca="false">INDEX(Assumptions!$B$10:$B$15,MATCH(K25,Assumptions!$A$10:$A$15,0))</f>
        <v>45</v>
      </c>
      <c r="M25" s="32" t="n">
        <v>4</v>
      </c>
      <c r="N25" s="32" t="n">
        <v>2</v>
      </c>
      <c r="O25" s="32" t="n">
        <v>2</v>
      </c>
      <c r="P25" s="32" t="n">
        <v>2</v>
      </c>
      <c r="Q25" s="32" t="n">
        <v>1</v>
      </c>
      <c r="R25" s="32" t="n">
        <v>3</v>
      </c>
      <c r="S25" s="32" t="n">
        <v>2</v>
      </c>
      <c r="T25" s="32" t="n">
        <v>1</v>
      </c>
      <c r="U25" s="35" t="n">
        <f aca="false">AVERAGE(O25,Q25,R25,S25)</f>
        <v>2</v>
      </c>
      <c r="V25" s="32" t="str">
        <f aca="false">IF(U25&lt;Assumptions!$B$5,"Low",IF(U25&gt;=Assumptions!$B$6,"High","Medium"))</f>
        <v>Low</v>
      </c>
      <c r="W25" s="33" t="s">
        <v>212</v>
      </c>
    </row>
    <row r="26" customFormat="false" ht="15" hidden="false" customHeight="true" outlineLevel="0" collapsed="false">
      <c r="A26" s="32" t="n">
        <v>25</v>
      </c>
      <c r="B26" s="33" t="s">
        <v>80</v>
      </c>
      <c r="C26" s="33" t="s">
        <v>87</v>
      </c>
      <c r="D26" s="33" t="s">
        <v>97</v>
      </c>
      <c r="E26" s="33" t="s">
        <v>122</v>
      </c>
      <c r="F26" s="32" t="s">
        <v>211</v>
      </c>
      <c r="G26" s="33" t="n">
        <v>70</v>
      </c>
      <c r="H26" s="34" t="n">
        <f aca="false">IF(F26="Percentage",G26,IF(OR(F26="CGPA",F26="SGPA"),G26*Assumptions!$B$3,""))</f>
        <v>70</v>
      </c>
      <c r="I26" s="32" t="str">
        <f aca="false">IF(AND(ISNUMBER(H26),H26&gt;=Assumptions!$B$4),"Yes","No")</f>
        <v>Yes</v>
      </c>
      <c r="J26" s="34" t="n">
        <f aca="false">IF(I26="Yes",H26,"")</f>
        <v>70</v>
      </c>
      <c r="K26" s="32" t="s">
        <v>79</v>
      </c>
      <c r="L26" s="34" t="n">
        <f aca="false">INDEX(Assumptions!$B$10:$B$15,MATCH(K26,Assumptions!$A$10:$A$15,0))</f>
        <v>95</v>
      </c>
      <c r="M26" s="32" t="n">
        <v>4</v>
      </c>
      <c r="N26" s="32" t="n">
        <v>4</v>
      </c>
      <c r="O26" s="32" t="n">
        <v>5</v>
      </c>
      <c r="P26" s="32" t="n">
        <v>5</v>
      </c>
      <c r="Q26" s="32" t="n">
        <v>3</v>
      </c>
      <c r="R26" s="32" t="n">
        <v>4</v>
      </c>
      <c r="S26" s="32" t="n">
        <v>4</v>
      </c>
      <c r="T26" s="32" t="n">
        <v>4</v>
      </c>
      <c r="U26" s="35" t="n">
        <f aca="false">AVERAGE(O26,Q26,R26,S26)</f>
        <v>4</v>
      </c>
      <c r="V26" s="32" t="str">
        <f aca="false">IF(U26&lt;Assumptions!$B$5,"Low",IF(U26&gt;=Assumptions!$B$6,"High","Medium"))</f>
        <v>Medium</v>
      </c>
      <c r="W26" s="33" t="s">
        <v>212</v>
      </c>
    </row>
    <row r="27" customFormat="false" ht="15" hidden="false" customHeight="true" outlineLevel="0" collapsed="false">
      <c r="A27" s="32" t="n">
        <v>26</v>
      </c>
      <c r="B27" s="33" t="s">
        <v>80</v>
      </c>
      <c r="C27" s="33" t="s">
        <v>87</v>
      </c>
      <c r="D27" s="33" t="s">
        <v>97</v>
      </c>
      <c r="E27" s="33" t="s">
        <v>226</v>
      </c>
      <c r="F27" s="32" t="s">
        <v>211</v>
      </c>
      <c r="G27" s="33" t="n">
        <v>63</v>
      </c>
      <c r="H27" s="34" t="n">
        <f aca="false">IF(F27="Percentage",G27,IF(OR(F27="CGPA",F27="SGPA"),G27*Assumptions!$B$3,""))</f>
        <v>63</v>
      </c>
      <c r="I27" s="32" t="str">
        <f aca="false">IF(AND(ISNUMBER(H27),H27&gt;=Assumptions!$B$4),"Yes","No")</f>
        <v>Yes</v>
      </c>
      <c r="J27" s="34" t="n">
        <f aca="false">IF(I27="Yes",H27,"")</f>
        <v>63</v>
      </c>
      <c r="K27" s="32" t="s">
        <v>72</v>
      </c>
      <c r="L27" s="34" t="n">
        <f aca="false">INDEX(Assumptions!$B$10:$B$15,MATCH(K27,Assumptions!$A$10:$A$15,0))</f>
        <v>65</v>
      </c>
      <c r="M27" s="32" t="n">
        <v>1</v>
      </c>
      <c r="N27" s="32" t="n">
        <v>4</v>
      </c>
      <c r="O27" s="32" t="n">
        <v>3</v>
      </c>
      <c r="P27" s="32" t="n">
        <v>4</v>
      </c>
      <c r="Q27" s="32" t="n">
        <v>5</v>
      </c>
      <c r="R27" s="32" t="n">
        <v>6</v>
      </c>
      <c r="S27" s="32" t="n">
        <v>3</v>
      </c>
      <c r="T27" s="32" t="n">
        <v>3</v>
      </c>
      <c r="U27" s="35" t="n">
        <f aca="false">AVERAGE(O27,Q27,R27,S27)</f>
        <v>4.25</v>
      </c>
      <c r="V27" s="32" t="str">
        <f aca="false">IF(U27&lt;Assumptions!$B$5,"Low",IF(U27&gt;=Assumptions!$B$6,"High","Medium"))</f>
        <v>Medium</v>
      </c>
      <c r="W27" s="33" t="s">
        <v>212</v>
      </c>
    </row>
    <row r="28" customFormat="false" ht="15" hidden="false" customHeight="true" outlineLevel="0" collapsed="false">
      <c r="A28" s="32" t="n">
        <v>27</v>
      </c>
      <c r="B28" s="33" t="s">
        <v>80</v>
      </c>
      <c r="C28" s="33" t="s">
        <v>63</v>
      </c>
      <c r="D28" s="33" t="s">
        <v>97</v>
      </c>
      <c r="E28" s="33" t="s">
        <v>122</v>
      </c>
      <c r="F28" s="32" t="s">
        <v>211</v>
      </c>
      <c r="G28" s="33" t="n">
        <v>70</v>
      </c>
      <c r="H28" s="34" t="n">
        <f aca="false">IF(F28="Percentage",G28,IF(OR(F28="CGPA",F28="SGPA"),G28*Assumptions!$B$3,""))</f>
        <v>70</v>
      </c>
      <c r="I28" s="32" t="str">
        <f aca="false">IF(AND(ISNUMBER(H28),H28&gt;=Assumptions!$B$4),"Yes","No")</f>
        <v>Yes</v>
      </c>
      <c r="J28" s="34" t="n">
        <f aca="false">IF(I28="Yes",H28,"")</f>
        <v>70</v>
      </c>
      <c r="K28" s="32" t="s">
        <v>74</v>
      </c>
      <c r="L28" s="34" t="n">
        <f aca="false">INDEX(Assumptions!$B$10:$B$15,MATCH(K28,Assumptions!$A$10:$A$15,0))</f>
        <v>75</v>
      </c>
      <c r="M28" s="32" t="n">
        <v>6</v>
      </c>
      <c r="N28" s="32" t="n">
        <v>6</v>
      </c>
      <c r="O28" s="32" t="n">
        <v>6</v>
      </c>
      <c r="P28" s="32" t="n">
        <v>5</v>
      </c>
      <c r="Q28" s="32" t="n">
        <v>6</v>
      </c>
      <c r="R28" s="32" t="n">
        <v>6</v>
      </c>
      <c r="S28" s="32" t="n">
        <v>6</v>
      </c>
      <c r="T28" s="32" t="n">
        <v>6</v>
      </c>
      <c r="U28" s="35" t="n">
        <f aca="false">AVERAGE(O28,Q28,R28,S28)</f>
        <v>6</v>
      </c>
      <c r="V28" s="32" t="str">
        <f aca="false">IF(U28&lt;Assumptions!$B$5,"Low",IF(U28&gt;=Assumptions!$B$6,"High","Medium"))</f>
        <v>High</v>
      </c>
      <c r="W28" s="33" t="s">
        <v>212</v>
      </c>
    </row>
    <row r="29" customFormat="false" ht="15" hidden="false" customHeight="true" outlineLevel="0" collapsed="false">
      <c r="A29" s="32" t="n">
        <v>28</v>
      </c>
      <c r="B29" s="33" t="s">
        <v>62</v>
      </c>
      <c r="C29" s="33" t="s">
        <v>63</v>
      </c>
      <c r="D29" s="33" t="s">
        <v>64</v>
      </c>
      <c r="E29" s="33" t="s">
        <v>208</v>
      </c>
      <c r="F29" s="32" t="s">
        <v>211</v>
      </c>
      <c r="G29" s="33" t="n">
        <v>70</v>
      </c>
      <c r="H29" s="34" t="n">
        <f aca="false">IF(F29="Percentage",G29,IF(OR(F29="CGPA",F29="SGPA"),G29*Assumptions!$B$3,""))</f>
        <v>70</v>
      </c>
      <c r="I29" s="32" t="str">
        <f aca="false">IF(AND(ISNUMBER(H29),H29&gt;=Assumptions!$B$4),"Yes","No")</f>
        <v>Yes</v>
      </c>
      <c r="J29" s="34" t="n">
        <f aca="false">IF(I29="Yes",H29,"")</f>
        <v>70</v>
      </c>
      <c r="K29" s="32" t="s">
        <v>74</v>
      </c>
      <c r="L29" s="34" t="n">
        <f aca="false">INDEX(Assumptions!$B$10:$B$15,MATCH(K29,Assumptions!$A$10:$A$15,0))</f>
        <v>75</v>
      </c>
      <c r="M29" s="32" t="n">
        <v>4</v>
      </c>
      <c r="N29" s="32" t="n">
        <v>6</v>
      </c>
      <c r="O29" s="32" t="n">
        <v>5</v>
      </c>
      <c r="P29" s="32" t="n">
        <v>6</v>
      </c>
      <c r="Q29" s="32" t="n">
        <v>5</v>
      </c>
      <c r="R29" s="32" t="n">
        <v>6</v>
      </c>
      <c r="S29" s="32" t="n">
        <v>6</v>
      </c>
      <c r="T29" s="32" t="n">
        <v>6</v>
      </c>
      <c r="U29" s="35" t="n">
        <f aca="false">AVERAGE(O29,Q29,R29,S29)</f>
        <v>5.5</v>
      </c>
      <c r="V29" s="32" t="str">
        <f aca="false">IF(U29&lt;Assumptions!$B$5,"Low",IF(U29&gt;=Assumptions!$B$6,"High","Medium"))</f>
        <v>High</v>
      </c>
      <c r="W29" s="33" t="s">
        <v>212</v>
      </c>
    </row>
    <row r="30" customFormat="false" ht="15" hidden="false" customHeight="true" outlineLevel="0" collapsed="false">
      <c r="A30" s="32" t="n">
        <v>29</v>
      </c>
      <c r="B30" s="33" t="s">
        <v>95</v>
      </c>
      <c r="C30" s="33" t="s">
        <v>213</v>
      </c>
      <c r="D30" s="33" t="s">
        <v>64</v>
      </c>
      <c r="E30" s="33" t="s">
        <v>138</v>
      </c>
      <c r="F30" s="32" t="s">
        <v>209</v>
      </c>
      <c r="G30" s="33" t="n">
        <v>8.09</v>
      </c>
      <c r="H30" s="34" t="n">
        <f aca="false">IF(F30="Percentage",G30,IF(OR(F30="CGPA",F30="SGPA"),G30*Assumptions!$B$3,""))</f>
        <v>76.855</v>
      </c>
      <c r="I30" s="32" t="str">
        <f aca="false">IF(AND(ISNUMBER(H30),H30&gt;=Assumptions!$B$4),"Yes","No")</f>
        <v>Yes</v>
      </c>
      <c r="J30" s="34" t="n">
        <f aca="false">IF(I30="Yes",H30,"")</f>
        <v>76.855</v>
      </c>
      <c r="K30" s="32" t="s">
        <v>74</v>
      </c>
      <c r="L30" s="34" t="n">
        <f aca="false">INDEX(Assumptions!$B$10:$B$15,MATCH(K30,Assumptions!$A$10:$A$15,0))</f>
        <v>75</v>
      </c>
      <c r="M30" s="32" t="n">
        <v>3</v>
      </c>
      <c r="N30" s="32" t="n">
        <v>4</v>
      </c>
      <c r="O30" s="32" t="n">
        <v>3</v>
      </c>
      <c r="P30" s="32" t="n">
        <v>4</v>
      </c>
      <c r="Q30" s="32" t="n">
        <v>3</v>
      </c>
      <c r="R30" s="32" t="n">
        <v>4</v>
      </c>
      <c r="S30" s="32" t="n">
        <v>3</v>
      </c>
      <c r="T30" s="32" t="n">
        <v>4</v>
      </c>
      <c r="U30" s="35" t="n">
        <f aca="false">AVERAGE(O30,Q30,R30,S30)</f>
        <v>3.25</v>
      </c>
      <c r="V30" s="32" t="str">
        <f aca="false">IF(U30&lt;Assumptions!$B$5,"Low",IF(U30&gt;=Assumptions!$B$6,"High","Medium"))</f>
        <v>Low</v>
      </c>
      <c r="W30" s="33" t="s">
        <v>227</v>
      </c>
    </row>
    <row r="31" customFormat="false" ht="15" hidden="false" customHeight="true" outlineLevel="0" collapsed="false">
      <c r="A31" s="32" t="n">
        <v>30</v>
      </c>
      <c r="B31" s="33" t="s">
        <v>95</v>
      </c>
      <c r="C31" s="33" t="s">
        <v>96</v>
      </c>
      <c r="D31" s="33" t="s">
        <v>76</v>
      </c>
      <c r="E31" s="33" t="s">
        <v>106</v>
      </c>
      <c r="F31" s="32" t="s">
        <v>211</v>
      </c>
      <c r="G31" s="33" t="n">
        <v>80</v>
      </c>
      <c r="H31" s="34" t="n">
        <f aca="false">IF(F31="Percentage",G31,IF(OR(F31="CGPA",F31="SGPA"),G31*Assumptions!$B$3,""))</f>
        <v>80</v>
      </c>
      <c r="I31" s="32" t="str">
        <f aca="false">IF(AND(ISNUMBER(H31),H31&gt;=Assumptions!$B$4),"Yes","No")</f>
        <v>Yes</v>
      </c>
      <c r="J31" s="34" t="n">
        <f aca="false">IF(I31="Yes",H31,"")</f>
        <v>80</v>
      </c>
      <c r="K31" s="32" t="s">
        <v>72</v>
      </c>
      <c r="L31" s="34" t="n">
        <f aca="false">INDEX(Assumptions!$B$10:$B$15,MATCH(K31,Assumptions!$A$10:$A$15,0))</f>
        <v>65</v>
      </c>
      <c r="M31" s="32" t="n">
        <v>4</v>
      </c>
      <c r="N31" s="32" t="n">
        <v>4</v>
      </c>
      <c r="O31" s="32" t="n">
        <v>1</v>
      </c>
      <c r="P31" s="32" t="n">
        <v>4</v>
      </c>
      <c r="Q31" s="32" t="n">
        <v>2</v>
      </c>
      <c r="R31" s="32" t="n">
        <v>2</v>
      </c>
      <c r="S31" s="32" t="n">
        <v>2</v>
      </c>
      <c r="T31" s="32" t="n">
        <v>2</v>
      </c>
      <c r="U31" s="35" t="n">
        <f aca="false">AVERAGE(O31,Q31,R31,S31)</f>
        <v>1.75</v>
      </c>
      <c r="V31" s="32" t="str">
        <f aca="false">IF(U31&lt;Assumptions!$B$5,"Low",IF(U31&gt;=Assumptions!$B$6,"High","Medium"))</f>
        <v>Low</v>
      </c>
      <c r="W31" s="33" t="s">
        <v>212</v>
      </c>
    </row>
    <row r="32" customFormat="false" ht="15" hidden="false" customHeight="true" outlineLevel="0" collapsed="false">
      <c r="A32" s="32" t="n">
        <v>31</v>
      </c>
      <c r="B32" s="33" t="s">
        <v>80</v>
      </c>
      <c r="C32" s="33" t="s">
        <v>63</v>
      </c>
      <c r="D32" s="33" t="s">
        <v>64</v>
      </c>
      <c r="E32" s="33" t="s">
        <v>106</v>
      </c>
      <c r="F32" s="32" t="s">
        <v>209</v>
      </c>
      <c r="G32" s="33" t="n">
        <v>7.8</v>
      </c>
      <c r="H32" s="34" t="n">
        <f aca="false">IF(F32="Percentage",G32,IF(OR(F32="CGPA",F32="SGPA"),G32*Assumptions!$B$3,""))</f>
        <v>74.1</v>
      </c>
      <c r="I32" s="32" t="str">
        <f aca="false">IF(AND(ISNUMBER(H32),H32&gt;=Assumptions!$B$4),"Yes","No")</f>
        <v>Yes</v>
      </c>
      <c r="J32" s="34" t="n">
        <f aca="false">IF(I32="Yes",H32,"")</f>
        <v>74.1</v>
      </c>
      <c r="K32" s="32" t="s">
        <v>72</v>
      </c>
      <c r="L32" s="34" t="n">
        <f aca="false">INDEX(Assumptions!$B$10:$B$15,MATCH(K32,Assumptions!$A$10:$A$15,0))</f>
        <v>65</v>
      </c>
      <c r="M32" s="32" t="n">
        <v>3</v>
      </c>
      <c r="N32" s="32" t="n">
        <v>5</v>
      </c>
      <c r="O32" s="32" t="n">
        <v>6</v>
      </c>
      <c r="P32" s="32" t="n">
        <v>5</v>
      </c>
      <c r="Q32" s="32" t="n">
        <v>6</v>
      </c>
      <c r="R32" s="32" t="n">
        <v>5</v>
      </c>
      <c r="S32" s="32" t="n">
        <v>6</v>
      </c>
      <c r="T32" s="32" t="n">
        <v>6</v>
      </c>
      <c r="U32" s="35" t="n">
        <f aca="false">AVERAGE(O32,Q32,R32,S32)</f>
        <v>5.75</v>
      </c>
      <c r="V32" s="32" t="str">
        <f aca="false">IF(U32&lt;Assumptions!$B$5,"Low",IF(U32&gt;=Assumptions!$B$6,"High","Medium"))</f>
        <v>High</v>
      </c>
      <c r="W32" s="33" t="s">
        <v>221</v>
      </c>
    </row>
    <row r="33" customFormat="false" ht="15" hidden="false" customHeight="true" outlineLevel="0" collapsed="false">
      <c r="A33" s="32" t="n">
        <v>32</v>
      </c>
      <c r="B33" s="33" t="s">
        <v>62</v>
      </c>
      <c r="C33" s="33" t="s">
        <v>63</v>
      </c>
      <c r="D33" s="33" t="s">
        <v>64</v>
      </c>
      <c r="E33" s="33" t="s">
        <v>114</v>
      </c>
      <c r="F33" s="32" t="s">
        <v>211</v>
      </c>
      <c r="G33" s="33" t="n">
        <v>78</v>
      </c>
      <c r="H33" s="34" t="n">
        <f aca="false">IF(F33="Percentage",G33,IF(OR(F33="CGPA",F33="SGPA"),G33*Assumptions!$B$3,""))</f>
        <v>78</v>
      </c>
      <c r="I33" s="32" t="str">
        <f aca="false">IF(AND(ISNUMBER(H33),H33&gt;=Assumptions!$B$4),"Yes","No")</f>
        <v>Yes</v>
      </c>
      <c r="J33" s="34" t="n">
        <f aca="false">IF(I33="Yes",H33,"")</f>
        <v>78</v>
      </c>
      <c r="K33" s="32" t="s">
        <v>74</v>
      </c>
      <c r="L33" s="34" t="n">
        <f aca="false">INDEX(Assumptions!$B$10:$B$15,MATCH(K33,Assumptions!$A$10:$A$15,0))</f>
        <v>75</v>
      </c>
      <c r="M33" s="32" t="n">
        <v>3</v>
      </c>
      <c r="N33" s="32" t="n">
        <v>5</v>
      </c>
      <c r="O33" s="32" t="n">
        <v>4</v>
      </c>
      <c r="P33" s="32" t="n">
        <v>3</v>
      </c>
      <c r="Q33" s="32" t="n">
        <v>5</v>
      </c>
      <c r="R33" s="32" t="n">
        <v>4</v>
      </c>
      <c r="S33" s="32" t="n">
        <v>5</v>
      </c>
      <c r="T33" s="32" t="n">
        <v>2</v>
      </c>
      <c r="U33" s="35" t="n">
        <f aca="false">AVERAGE(O33,Q33,R33,S33)</f>
        <v>4.5</v>
      </c>
      <c r="V33" s="32" t="str">
        <f aca="false">IF(U33&lt;Assumptions!$B$5,"Low",IF(U33&gt;=Assumptions!$B$6,"High","Medium"))</f>
        <v>High</v>
      </c>
      <c r="W33" s="33" t="s">
        <v>220</v>
      </c>
    </row>
    <row r="34" customFormat="false" ht="15" hidden="false" customHeight="true" outlineLevel="0" collapsed="false">
      <c r="A34" s="32" t="n">
        <v>33</v>
      </c>
      <c r="B34" s="33" t="s">
        <v>228</v>
      </c>
      <c r="C34" s="33" t="s">
        <v>68</v>
      </c>
      <c r="D34" s="33" t="s">
        <v>92</v>
      </c>
      <c r="E34" s="33" t="s">
        <v>116</v>
      </c>
      <c r="F34" s="32" t="s">
        <v>211</v>
      </c>
      <c r="G34" s="33" t="n">
        <v>90</v>
      </c>
      <c r="H34" s="34" t="n">
        <f aca="false">IF(F34="Percentage",G34,IF(OR(F34="CGPA",F34="SGPA"),G34*Assumptions!$B$3,""))</f>
        <v>90</v>
      </c>
      <c r="I34" s="32" t="str">
        <f aca="false">IF(AND(ISNUMBER(H34),H34&gt;=Assumptions!$B$4),"Yes","No")</f>
        <v>Yes</v>
      </c>
      <c r="J34" s="34" t="n">
        <f aca="false">IF(I34="Yes",H34,"")</f>
        <v>90</v>
      </c>
      <c r="K34" s="32" t="s">
        <v>84</v>
      </c>
      <c r="L34" s="34" t="n">
        <f aca="false">INDEX(Assumptions!$B$10:$B$15,MATCH(K34,Assumptions!$A$10:$A$15,0))</f>
        <v>85</v>
      </c>
      <c r="M34" s="32" t="n">
        <v>5</v>
      </c>
      <c r="N34" s="32" t="n">
        <v>5</v>
      </c>
      <c r="O34" s="32" t="n">
        <v>4</v>
      </c>
      <c r="P34" s="32" t="n">
        <v>6</v>
      </c>
      <c r="Q34" s="32" t="n">
        <v>5</v>
      </c>
      <c r="R34" s="32" t="n">
        <v>5</v>
      </c>
      <c r="S34" s="32" t="n">
        <v>3</v>
      </c>
      <c r="T34" s="32" t="n">
        <v>3</v>
      </c>
      <c r="U34" s="35" t="n">
        <f aca="false">AVERAGE(O34,Q34,R34,S34)</f>
        <v>4.25</v>
      </c>
      <c r="V34" s="32" t="str">
        <f aca="false">IF(U34&lt;Assumptions!$B$5,"Low",IF(U34&gt;=Assumptions!$B$6,"High","Medium"))</f>
        <v>Medium</v>
      </c>
      <c r="W34" s="33" t="s">
        <v>229</v>
      </c>
    </row>
    <row r="35" customFormat="false" ht="15" hidden="false" customHeight="true" outlineLevel="0" collapsed="false">
      <c r="A35" s="32" t="n">
        <v>34</v>
      </c>
      <c r="B35" s="33" t="s">
        <v>62</v>
      </c>
      <c r="C35" s="33" t="s">
        <v>68</v>
      </c>
      <c r="D35" s="33" t="s">
        <v>92</v>
      </c>
      <c r="E35" s="33" t="s">
        <v>208</v>
      </c>
      <c r="F35" s="32" t="s">
        <v>211</v>
      </c>
      <c r="G35" s="33" t="n">
        <v>78</v>
      </c>
      <c r="H35" s="34" t="n">
        <f aca="false">IF(F35="Percentage",G35,IF(OR(F35="CGPA",F35="SGPA"),G35*Assumptions!$B$3,""))</f>
        <v>78</v>
      </c>
      <c r="I35" s="32" t="str">
        <f aca="false">IF(AND(ISNUMBER(H35),H35&gt;=Assumptions!$B$4),"Yes","No")</f>
        <v>Yes</v>
      </c>
      <c r="J35" s="34" t="n">
        <f aca="false">IF(I35="Yes",H35,"")</f>
        <v>78</v>
      </c>
      <c r="K35" s="32" t="s">
        <v>84</v>
      </c>
      <c r="L35" s="34" t="n">
        <f aca="false">INDEX(Assumptions!$B$10:$B$15,MATCH(K35,Assumptions!$A$10:$A$15,0))</f>
        <v>85</v>
      </c>
      <c r="M35" s="32" t="n">
        <v>5</v>
      </c>
      <c r="N35" s="32" t="n">
        <v>5</v>
      </c>
      <c r="O35" s="32" t="n">
        <v>5</v>
      </c>
      <c r="P35" s="32" t="n">
        <v>5</v>
      </c>
      <c r="Q35" s="32" t="n">
        <v>5</v>
      </c>
      <c r="R35" s="32" t="n">
        <v>5</v>
      </c>
      <c r="S35" s="32" t="n">
        <v>5</v>
      </c>
      <c r="T35" s="32" t="n">
        <v>4</v>
      </c>
      <c r="U35" s="35" t="n">
        <f aca="false">AVERAGE(O35,Q35,R35,S35)</f>
        <v>5</v>
      </c>
      <c r="V35" s="32" t="str">
        <f aca="false">IF(U35&lt;Assumptions!$B$5,"Low",IF(U35&gt;=Assumptions!$B$6,"High","Medium"))</f>
        <v>High</v>
      </c>
      <c r="W35" s="33" t="s">
        <v>212</v>
      </c>
    </row>
    <row r="36" customFormat="false" ht="15" hidden="false" customHeight="true" outlineLevel="0" collapsed="false">
      <c r="A36" s="32" t="n">
        <v>35</v>
      </c>
      <c r="B36" s="33" t="s">
        <v>95</v>
      </c>
      <c r="C36" s="33" t="s">
        <v>213</v>
      </c>
      <c r="D36" s="33" t="s">
        <v>97</v>
      </c>
      <c r="E36" s="33" t="s">
        <v>118</v>
      </c>
      <c r="F36" s="32" t="s">
        <v>218</v>
      </c>
      <c r="G36" s="33" t="n">
        <v>9.3</v>
      </c>
      <c r="H36" s="34" t="n">
        <f aca="false">IF(F36="Percentage",G36,IF(OR(F36="CGPA",F36="SGPA"),G36*Assumptions!$B$3,""))</f>
        <v>88.35</v>
      </c>
      <c r="I36" s="32" t="str">
        <f aca="false">IF(AND(ISNUMBER(H36),H36&gt;=Assumptions!$B$4),"Yes","No")</f>
        <v>Yes</v>
      </c>
      <c r="J36" s="34" t="n">
        <f aca="false">IF(I36="Yes",H36,"")</f>
        <v>88.35</v>
      </c>
      <c r="K36" s="32" t="s">
        <v>72</v>
      </c>
      <c r="L36" s="34" t="n">
        <f aca="false">INDEX(Assumptions!$B$10:$B$15,MATCH(K36,Assumptions!$A$10:$A$15,0))</f>
        <v>65</v>
      </c>
      <c r="M36" s="32" t="n">
        <v>5</v>
      </c>
      <c r="N36" s="32" t="n">
        <v>3</v>
      </c>
      <c r="O36" s="32" t="n">
        <v>3</v>
      </c>
      <c r="P36" s="32" t="n">
        <v>4</v>
      </c>
      <c r="Q36" s="32" t="n">
        <v>3</v>
      </c>
      <c r="R36" s="32" t="n">
        <v>4</v>
      </c>
      <c r="S36" s="32" t="n">
        <v>4</v>
      </c>
      <c r="T36" s="32" t="n">
        <v>5</v>
      </c>
      <c r="U36" s="35" t="n">
        <f aca="false">AVERAGE(O36,Q36,R36,S36)</f>
        <v>3.5</v>
      </c>
      <c r="V36" s="32" t="str">
        <f aca="false">IF(U36&lt;Assumptions!$B$5,"Low",IF(U36&gt;=Assumptions!$B$6,"High","Medium"))</f>
        <v>Medium</v>
      </c>
      <c r="W36" s="33" t="s">
        <v>230</v>
      </c>
    </row>
    <row r="37" customFormat="false" ht="15" hidden="false" customHeight="true" outlineLevel="0" collapsed="false">
      <c r="A37" s="32" t="n">
        <v>36</v>
      </c>
      <c r="B37" s="33" t="s">
        <v>62</v>
      </c>
      <c r="C37" s="33" t="s">
        <v>73</v>
      </c>
      <c r="D37" s="33" t="s">
        <v>64</v>
      </c>
      <c r="E37" s="33" t="s">
        <v>120</v>
      </c>
      <c r="F37" s="32" t="s">
        <v>211</v>
      </c>
      <c r="G37" s="33" t="n">
        <v>67</v>
      </c>
      <c r="H37" s="34" t="n">
        <f aca="false">IF(F37="Percentage",G37,IF(OR(F37="CGPA",F37="SGPA"),G37*Assumptions!$B$3,""))</f>
        <v>67</v>
      </c>
      <c r="I37" s="32" t="str">
        <f aca="false">IF(AND(ISNUMBER(H37),H37&gt;=Assumptions!$B$4),"Yes","No")</f>
        <v>Yes</v>
      </c>
      <c r="J37" s="34" t="n">
        <f aca="false">IF(I37="Yes",H37,"")</f>
        <v>67</v>
      </c>
      <c r="K37" s="32" t="s">
        <v>72</v>
      </c>
      <c r="L37" s="34" t="n">
        <f aca="false">INDEX(Assumptions!$B$10:$B$15,MATCH(K37,Assumptions!$A$10:$A$15,0))</f>
        <v>65</v>
      </c>
      <c r="M37" s="32" t="n">
        <v>4</v>
      </c>
      <c r="N37" s="32"/>
      <c r="O37" s="32" t="n">
        <v>3</v>
      </c>
      <c r="P37" s="32" t="n">
        <v>4</v>
      </c>
      <c r="Q37" s="32" t="n">
        <v>5</v>
      </c>
      <c r="R37" s="32" t="n">
        <v>6</v>
      </c>
      <c r="S37" s="32" t="n">
        <v>4</v>
      </c>
      <c r="T37" s="32" t="n">
        <v>6</v>
      </c>
      <c r="U37" s="35" t="n">
        <f aca="false">AVERAGE(O37,Q37,R37,S37)</f>
        <v>4.5</v>
      </c>
      <c r="V37" s="32" t="str">
        <f aca="false">IF(U37&lt;Assumptions!$B$5,"Low",IF(U37&gt;=Assumptions!$B$6,"High","Medium"))</f>
        <v>High</v>
      </c>
      <c r="W37" s="33" t="s">
        <v>231</v>
      </c>
    </row>
    <row r="38" customFormat="false" ht="15" hidden="false" customHeight="true" outlineLevel="0" collapsed="false">
      <c r="A38" s="32" t="n">
        <v>37</v>
      </c>
      <c r="B38" s="33" t="s">
        <v>80</v>
      </c>
      <c r="C38" s="33" t="s">
        <v>87</v>
      </c>
      <c r="D38" s="33" t="s">
        <v>92</v>
      </c>
      <c r="E38" s="33" t="s">
        <v>98</v>
      </c>
      <c r="F38" s="32" t="s">
        <v>209</v>
      </c>
      <c r="G38" s="33" t="n">
        <v>7.8</v>
      </c>
      <c r="H38" s="34" t="n">
        <f aca="false">IF(F38="Percentage",G38,IF(OR(F38="CGPA",F38="SGPA"),G38*Assumptions!$B$3,""))</f>
        <v>74.1</v>
      </c>
      <c r="I38" s="32" t="str">
        <f aca="false">IF(AND(ISNUMBER(H38),H38&gt;=Assumptions!$B$4),"Yes","No")</f>
        <v>Yes</v>
      </c>
      <c r="J38" s="34" t="n">
        <f aca="false">IF(I38="Yes",H38,"")</f>
        <v>74.1</v>
      </c>
      <c r="K38" s="32" t="s">
        <v>74</v>
      </c>
      <c r="L38" s="34" t="n">
        <f aca="false">INDEX(Assumptions!$B$10:$B$15,MATCH(K38,Assumptions!$A$10:$A$15,0))</f>
        <v>75</v>
      </c>
      <c r="M38" s="32" t="n">
        <v>3</v>
      </c>
      <c r="N38" s="32" t="n">
        <v>4</v>
      </c>
      <c r="O38" s="32" t="n">
        <v>3</v>
      </c>
      <c r="P38" s="32" t="n">
        <v>3</v>
      </c>
      <c r="Q38" s="32" t="n">
        <v>4</v>
      </c>
      <c r="R38" s="32" t="n">
        <v>2</v>
      </c>
      <c r="S38" s="32" t="n">
        <v>4</v>
      </c>
      <c r="T38" s="32" t="n">
        <v>5</v>
      </c>
      <c r="U38" s="35" t="n">
        <f aca="false">AVERAGE(O38,Q38,R38,S38)</f>
        <v>3.25</v>
      </c>
      <c r="V38" s="32" t="str">
        <f aca="false">IF(U38&lt;Assumptions!$B$5,"Low",IF(U38&gt;=Assumptions!$B$6,"High","Medium"))</f>
        <v>Low</v>
      </c>
      <c r="W38" s="33" t="s">
        <v>221</v>
      </c>
    </row>
    <row r="39" customFormat="false" ht="15" hidden="false" customHeight="true" outlineLevel="0" collapsed="false">
      <c r="A39" s="32" t="n">
        <v>38</v>
      </c>
      <c r="B39" s="33" t="s">
        <v>62</v>
      </c>
      <c r="C39" s="33" t="s">
        <v>73</v>
      </c>
      <c r="D39" s="33" t="s">
        <v>92</v>
      </c>
      <c r="E39" s="33" t="s">
        <v>122</v>
      </c>
      <c r="F39" s="32" t="s">
        <v>211</v>
      </c>
      <c r="G39" s="33" t="n">
        <v>73</v>
      </c>
      <c r="H39" s="34" t="n">
        <f aca="false">IF(F39="Percentage",G39,IF(OR(F39="CGPA",F39="SGPA"),G39*Assumptions!$B$3,""))</f>
        <v>73</v>
      </c>
      <c r="I39" s="32" t="str">
        <f aca="false">IF(AND(ISNUMBER(H39),H39&gt;=Assumptions!$B$4),"Yes","No")</f>
        <v>Yes</v>
      </c>
      <c r="J39" s="34" t="n">
        <f aca="false">IF(I39="Yes",H39,"")</f>
        <v>73</v>
      </c>
      <c r="K39" s="32" t="s">
        <v>84</v>
      </c>
      <c r="L39" s="34" t="n">
        <f aca="false">INDEX(Assumptions!$B$10:$B$15,MATCH(K39,Assumptions!$A$10:$A$15,0))</f>
        <v>85</v>
      </c>
      <c r="M39" s="32" t="n">
        <v>4</v>
      </c>
      <c r="N39" s="32" t="n">
        <v>3</v>
      </c>
      <c r="O39" s="32" t="n">
        <v>2</v>
      </c>
      <c r="P39" s="32" t="n">
        <v>5</v>
      </c>
      <c r="Q39" s="32" t="n">
        <v>4</v>
      </c>
      <c r="R39" s="32" t="n">
        <v>3</v>
      </c>
      <c r="S39" s="32" t="n">
        <v>4</v>
      </c>
      <c r="T39" s="32" t="n">
        <v>5</v>
      </c>
      <c r="U39" s="35" t="n">
        <f aca="false">AVERAGE(O39,Q39,R39,S39)</f>
        <v>3.25</v>
      </c>
      <c r="V39" s="32" t="str">
        <f aca="false">IF(U39&lt;Assumptions!$B$5,"Low",IF(U39&gt;=Assumptions!$B$6,"High","Medium"))</f>
        <v>Low</v>
      </c>
      <c r="W39" s="33" t="s">
        <v>220</v>
      </c>
    </row>
    <row r="40" customFormat="false" ht="15" hidden="false" customHeight="true" outlineLevel="0" collapsed="false">
      <c r="A40" s="32" t="n">
        <v>39</v>
      </c>
      <c r="B40" s="33" t="s">
        <v>95</v>
      </c>
      <c r="C40" s="33" t="s">
        <v>87</v>
      </c>
      <c r="D40" s="33" t="s">
        <v>92</v>
      </c>
      <c r="E40" s="33" t="s">
        <v>106</v>
      </c>
      <c r="F40" s="32" t="s">
        <v>209</v>
      </c>
      <c r="G40" s="33" t="n">
        <v>9.5</v>
      </c>
      <c r="H40" s="34" t="n">
        <f aca="false">IF(F40="Percentage",G40,IF(OR(F40="CGPA",F40="SGPA"),G40*Assumptions!$B$3,""))</f>
        <v>90.25</v>
      </c>
      <c r="I40" s="32" t="str">
        <f aca="false">IF(AND(ISNUMBER(H40),H40&gt;=Assumptions!$B$4),"Yes","No")</f>
        <v>Yes</v>
      </c>
      <c r="J40" s="34" t="n">
        <f aca="false">IF(I40="Yes",H40,"")</f>
        <v>90.25</v>
      </c>
      <c r="K40" s="32" t="s">
        <v>74</v>
      </c>
      <c r="L40" s="34" t="n">
        <f aca="false">INDEX(Assumptions!$B$10:$B$15,MATCH(K40,Assumptions!$A$10:$A$15,0))</f>
        <v>75</v>
      </c>
      <c r="M40" s="32" t="n">
        <v>3</v>
      </c>
      <c r="N40" s="32" t="n">
        <v>4</v>
      </c>
      <c r="O40" s="32" t="n">
        <v>5</v>
      </c>
      <c r="P40" s="32" t="n">
        <v>6</v>
      </c>
      <c r="Q40" s="32" t="n">
        <v>3</v>
      </c>
      <c r="R40" s="32" t="n">
        <v>4</v>
      </c>
      <c r="S40" s="32" t="n">
        <v>5</v>
      </c>
      <c r="T40" s="32" t="n">
        <v>6</v>
      </c>
      <c r="U40" s="35" t="n">
        <f aca="false">AVERAGE(O40,Q40,R40,S40)</f>
        <v>4.25</v>
      </c>
      <c r="V40" s="32" t="str">
        <f aca="false">IF(U40&lt;Assumptions!$B$5,"Low",IF(U40&gt;=Assumptions!$B$6,"High","Medium"))</f>
        <v>Medium</v>
      </c>
      <c r="W40" s="33" t="s">
        <v>230</v>
      </c>
    </row>
    <row r="41" customFormat="false" ht="15" hidden="false" customHeight="true" outlineLevel="0" collapsed="false">
      <c r="A41" s="32" t="n">
        <v>40</v>
      </c>
      <c r="B41" s="33" t="s">
        <v>80</v>
      </c>
      <c r="C41" s="33" t="s">
        <v>68</v>
      </c>
      <c r="D41" s="33" t="s">
        <v>64</v>
      </c>
      <c r="E41" s="33" t="s">
        <v>232</v>
      </c>
      <c r="F41" s="32" t="s">
        <v>209</v>
      </c>
      <c r="G41" s="33" t="n">
        <v>8.4</v>
      </c>
      <c r="H41" s="34" t="n">
        <f aca="false">IF(F41="Percentage",G41,IF(OR(F41="CGPA",F41="SGPA"),G41*Assumptions!$B$3,""))</f>
        <v>79.8</v>
      </c>
      <c r="I41" s="32" t="str">
        <f aca="false">IF(AND(ISNUMBER(H41),H41&gt;=Assumptions!$B$4),"Yes","No")</f>
        <v>Yes</v>
      </c>
      <c r="J41" s="34" t="n">
        <f aca="false">IF(I41="Yes",H41,"")</f>
        <v>79.8</v>
      </c>
      <c r="K41" s="32" t="s">
        <v>74</v>
      </c>
      <c r="L41" s="34" t="n">
        <f aca="false">INDEX(Assumptions!$B$10:$B$15,MATCH(K41,Assumptions!$A$10:$A$15,0))</f>
        <v>75</v>
      </c>
      <c r="M41" s="32" t="n">
        <v>4</v>
      </c>
      <c r="N41" s="32" t="n">
        <v>2</v>
      </c>
      <c r="O41" s="32" t="n">
        <v>3</v>
      </c>
      <c r="P41" s="32" t="n">
        <v>1</v>
      </c>
      <c r="Q41" s="32" t="n">
        <v>3</v>
      </c>
      <c r="R41" s="32" t="n">
        <v>5</v>
      </c>
      <c r="S41" s="32" t="n">
        <v>6</v>
      </c>
      <c r="T41" s="32" t="n">
        <v>2</v>
      </c>
      <c r="U41" s="35" t="n">
        <f aca="false">AVERAGE(O41,Q41,R41,S41)</f>
        <v>4.25</v>
      </c>
      <c r="V41" s="32" t="str">
        <f aca="false">IF(U41&lt;Assumptions!$B$5,"Low",IF(U41&gt;=Assumptions!$B$6,"High","Medium"))</f>
        <v>Medium</v>
      </c>
      <c r="W41" s="33" t="s">
        <v>210</v>
      </c>
    </row>
    <row r="42" customFormat="false" ht="15" hidden="false" customHeight="true" outlineLevel="0" collapsed="false">
      <c r="A42" s="32" t="n">
        <v>41</v>
      </c>
      <c r="B42" s="33" t="s">
        <v>62</v>
      </c>
      <c r="C42" s="33" t="s">
        <v>96</v>
      </c>
      <c r="D42" s="33" t="s">
        <v>76</v>
      </c>
      <c r="E42" s="33" t="s">
        <v>122</v>
      </c>
      <c r="F42" s="32" t="s">
        <v>209</v>
      </c>
      <c r="G42" s="33" t="n">
        <v>7.09</v>
      </c>
      <c r="H42" s="34" t="n">
        <f aca="false">IF(F42="Percentage",G42,IF(OR(F42="CGPA",F42="SGPA"),G42*Assumptions!$B$3,""))</f>
        <v>67.355</v>
      </c>
      <c r="I42" s="32" t="str">
        <f aca="false">IF(AND(ISNUMBER(H42),H42&gt;=Assumptions!$B$4),"Yes","No")</f>
        <v>Yes</v>
      </c>
      <c r="J42" s="34" t="n">
        <f aca="false">IF(I42="Yes",H42,"")</f>
        <v>67.355</v>
      </c>
      <c r="K42" s="32" t="s">
        <v>84</v>
      </c>
      <c r="L42" s="34" t="n">
        <f aca="false">INDEX(Assumptions!$B$10:$B$15,MATCH(K42,Assumptions!$A$10:$A$15,0))</f>
        <v>85</v>
      </c>
      <c r="M42" s="32" t="n">
        <v>5</v>
      </c>
      <c r="N42" s="32" t="n">
        <v>3</v>
      </c>
      <c r="O42" s="32" t="n">
        <v>4</v>
      </c>
      <c r="P42" s="32" t="n">
        <v>3</v>
      </c>
      <c r="Q42" s="32" t="n">
        <v>4</v>
      </c>
      <c r="R42" s="32" t="n">
        <v>6</v>
      </c>
      <c r="S42" s="32" t="n">
        <v>4</v>
      </c>
      <c r="T42" s="32" t="n">
        <v>5</v>
      </c>
      <c r="U42" s="35" t="n">
        <f aca="false">AVERAGE(O42,Q42,R42,S42)</f>
        <v>4.5</v>
      </c>
      <c r="V42" s="32" t="str">
        <f aca="false">IF(U42&lt;Assumptions!$B$5,"Low",IF(U42&gt;=Assumptions!$B$6,"High","Medium"))</f>
        <v>High</v>
      </c>
      <c r="W42" s="33" t="s">
        <v>221</v>
      </c>
    </row>
    <row r="43" customFormat="false" ht="15" hidden="false" customHeight="true" outlineLevel="0" collapsed="false">
      <c r="A43" s="32" t="n">
        <v>42</v>
      </c>
      <c r="B43" s="33" t="s">
        <v>80</v>
      </c>
      <c r="C43" s="33" t="s">
        <v>87</v>
      </c>
      <c r="D43" s="33" t="s">
        <v>64</v>
      </c>
      <c r="E43" s="33" t="s">
        <v>116</v>
      </c>
      <c r="F43" s="32" t="s">
        <v>209</v>
      </c>
      <c r="G43" s="33" t="n">
        <v>7.6</v>
      </c>
      <c r="H43" s="34" t="n">
        <f aca="false">IF(F43="Percentage",G43,IF(OR(F43="CGPA",F43="SGPA"),G43*Assumptions!$B$3,""))</f>
        <v>72.2</v>
      </c>
      <c r="I43" s="32" t="str">
        <f aca="false">IF(AND(ISNUMBER(H43),H43&gt;=Assumptions!$B$4),"Yes","No")</f>
        <v>Yes</v>
      </c>
      <c r="J43" s="34" t="n">
        <f aca="false">IF(I43="Yes",H43,"")</f>
        <v>72.2</v>
      </c>
      <c r="K43" s="32" t="s">
        <v>79</v>
      </c>
      <c r="L43" s="34" t="n">
        <f aca="false">INDEX(Assumptions!$B$10:$B$15,MATCH(K43,Assumptions!$A$10:$A$15,0))</f>
        <v>95</v>
      </c>
      <c r="M43" s="32" t="n">
        <v>3</v>
      </c>
      <c r="N43" s="32" t="n">
        <v>4</v>
      </c>
      <c r="O43" s="32" t="n">
        <v>3</v>
      </c>
      <c r="P43" s="32" t="n">
        <v>4</v>
      </c>
      <c r="Q43" s="32" t="n">
        <v>3</v>
      </c>
      <c r="R43" s="32" t="n">
        <v>4</v>
      </c>
      <c r="S43" s="32" t="n">
        <v>3</v>
      </c>
      <c r="T43" s="32" t="n">
        <v>4</v>
      </c>
      <c r="U43" s="35" t="n">
        <f aca="false">AVERAGE(O43,Q43,R43,S43)</f>
        <v>3.25</v>
      </c>
      <c r="V43" s="32" t="str">
        <f aca="false">IF(U43&lt;Assumptions!$B$5,"Low",IF(U43&gt;=Assumptions!$B$6,"High","Medium"))</f>
        <v>Low</v>
      </c>
      <c r="W43" s="33" t="s">
        <v>230</v>
      </c>
    </row>
    <row r="44" customFormat="false" ht="15" hidden="false" customHeight="true" outlineLevel="0" collapsed="false">
      <c r="A44" s="32" t="n">
        <v>43</v>
      </c>
      <c r="B44" s="33" t="s">
        <v>62</v>
      </c>
      <c r="C44" s="33" t="s">
        <v>96</v>
      </c>
      <c r="D44" s="33" t="s">
        <v>76</v>
      </c>
      <c r="E44" s="33" t="s">
        <v>118</v>
      </c>
      <c r="F44" s="32" t="s">
        <v>211</v>
      </c>
      <c r="G44" s="33" t="n">
        <v>63</v>
      </c>
      <c r="H44" s="34" t="n">
        <f aca="false">IF(F44="Percentage",G44,IF(OR(F44="CGPA",F44="SGPA"),G44*Assumptions!$B$3,""))</f>
        <v>63</v>
      </c>
      <c r="I44" s="32" t="str">
        <f aca="false">IF(AND(ISNUMBER(H44),H44&gt;=Assumptions!$B$4),"Yes","No")</f>
        <v>Yes</v>
      </c>
      <c r="J44" s="34" t="n">
        <f aca="false">IF(I44="Yes",H44,"")</f>
        <v>63</v>
      </c>
      <c r="K44" s="32" t="s">
        <v>74</v>
      </c>
      <c r="L44" s="34" t="n">
        <f aca="false">INDEX(Assumptions!$B$10:$B$15,MATCH(K44,Assumptions!$A$10:$A$15,0))</f>
        <v>75</v>
      </c>
      <c r="M44" s="32" t="n">
        <v>3</v>
      </c>
      <c r="N44" s="32" t="n">
        <v>4</v>
      </c>
      <c r="O44" s="32" t="n">
        <v>5</v>
      </c>
      <c r="P44" s="32" t="n">
        <v>5</v>
      </c>
      <c r="Q44" s="32" t="n">
        <v>4</v>
      </c>
      <c r="R44" s="32" t="n">
        <v>6</v>
      </c>
      <c r="S44" s="32" t="n">
        <v>6</v>
      </c>
      <c r="T44" s="32" t="n">
        <v>6</v>
      </c>
      <c r="U44" s="35" t="n">
        <f aca="false">AVERAGE(O44,Q44,R44,S44)</f>
        <v>5.25</v>
      </c>
      <c r="V44" s="32" t="str">
        <f aca="false">IF(U44&lt;Assumptions!$B$5,"Low",IF(U44&gt;=Assumptions!$B$6,"High","Medium"))</f>
        <v>High</v>
      </c>
      <c r="W44" s="33" t="s">
        <v>220</v>
      </c>
    </row>
    <row r="45" customFormat="false" ht="15" hidden="false" customHeight="true" outlineLevel="0" collapsed="false">
      <c r="A45" s="32" t="n">
        <v>44</v>
      </c>
      <c r="B45" s="33" t="s">
        <v>62</v>
      </c>
      <c r="C45" s="33" t="s">
        <v>68</v>
      </c>
      <c r="D45" s="33" t="s">
        <v>92</v>
      </c>
      <c r="E45" s="33" t="s">
        <v>106</v>
      </c>
      <c r="F45" s="32" t="s">
        <v>211</v>
      </c>
      <c r="G45" s="33" t="n">
        <v>67</v>
      </c>
      <c r="H45" s="34" t="n">
        <f aca="false">IF(F45="Percentage",G45,IF(OR(F45="CGPA",F45="SGPA"),G45*Assumptions!$B$3,""))</f>
        <v>67</v>
      </c>
      <c r="I45" s="32" t="str">
        <f aca="false">IF(AND(ISNUMBER(H45),H45&gt;=Assumptions!$B$4),"Yes","No")</f>
        <v>Yes</v>
      </c>
      <c r="J45" s="34" t="n">
        <f aca="false">IF(I45="Yes",H45,"")</f>
        <v>67</v>
      </c>
      <c r="K45" s="32" t="s">
        <v>72</v>
      </c>
      <c r="L45" s="34" t="n">
        <f aca="false">INDEX(Assumptions!$B$10:$B$15,MATCH(K45,Assumptions!$A$10:$A$15,0))</f>
        <v>65</v>
      </c>
      <c r="M45" s="32" t="n">
        <v>4</v>
      </c>
      <c r="N45" s="32" t="n">
        <v>4</v>
      </c>
      <c r="O45" s="32" t="n">
        <v>3</v>
      </c>
      <c r="P45" s="32" t="n">
        <v>4</v>
      </c>
      <c r="Q45" s="32" t="n">
        <v>4</v>
      </c>
      <c r="R45" s="32" t="n">
        <v>3</v>
      </c>
      <c r="S45" s="32" t="n">
        <v>4</v>
      </c>
      <c r="T45" s="32" t="n">
        <v>4</v>
      </c>
      <c r="U45" s="35" t="n">
        <f aca="false">AVERAGE(O45,Q45,R45,S45)</f>
        <v>3.5</v>
      </c>
      <c r="V45" s="32" t="str">
        <f aca="false">IF(U45&lt;Assumptions!$B$5,"Low",IF(U45&gt;=Assumptions!$B$6,"High","Medium"))</f>
        <v>Medium</v>
      </c>
      <c r="W45" s="33" t="s">
        <v>220</v>
      </c>
    </row>
    <row r="46" customFormat="false" ht="15" hidden="false" customHeight="true" outlineLevel="0" collapsed="false">
      <c r="A46" s="32" t="n">
        <v>45</v>
      </c>
      <c r="B46" s="33" t="s">
        <v>62</v>
      </c>
      <c r="C46" s="33" t="s">
        <v>87</v>
      </c>
      <c r="D46" s="33" t="s">
        <v>97</v>
      </c>
      <c r="E46" s="33" t="s">
        <v>233</v>
      </c>
      <c r="F46" s="32" t="s">
        <v>209</v>
      </c>
      <c r="G46" s="33" t="n">
        <v>7.3</v>
      </c>
      <c r="H46" s="34" t="n">
        <f aca="false">IF(F46="Percentage",G46,IF(OR(F46="CGPA",F46="SGPA"),G46*Assumptions!$B$3,""))</f>
        <v>69.35</v>
      </c>
      <c r="I46" s="32" t="str">
        <f aca="false">IF(AND(ISNUMBER(H46),H46&gt;=Assumptions!$B$4),"Yes","No")</f>
        <v>Yes</v>
      </c>
      <c r="J46" s="34" t="n">
        <f aca="false">IF(I46="Yes",H46,"")</f>
        <v>69.35</v>
      </c>
      <c r="K46" s="32" t="s">
        <v>84</v>
      </c>
      <c r="L46" s="34" t="n">
        <f aca="false">INDEX(Assumptions!$B$10:$B$15,MATCH(K46,Assumptions!$A$10:$A$15,0))</f>
        <v>85</v>
      </c>
      <c r="M46" s="32" t="n">
        <v>3</v>
      </c>
      <c r="N46" s="32" t="n">
        <v>4</v>
      </c>
      <c r="O46" s="32" t="n">
        <v>5</v>
      </c>
      <c r="P46" s="32" t="n">
        <v>3</v>
      </c>
      <c r="Q46" s="32" t="n">
        <v>4</v>
      </c>
      <c r="R46" s="32" t="n">
        <v>5</v>
      </c>
      <c r="S46" s="32" t="n">
        <v>6</v>
      </c>
      <c r="T46" s="32" t="n">
        <v>3</v>
      </c>
      <c r="U46" s="35" t="n">
        <f aca="false">AVERAGE(O46,Q46,R46,S46)</f>
        <v>5</v>
      </c>
      <c r="V46" s="32" t="str">
        <f aca="false">IF(U46&lt;Assumptions!$B$5,"Low",IF(U46&gt;=Assumptions!$B$6,"High","Medium"))</f>
        <v>High</v>
      </c>
      <c r="W46" s="33" t="s">
        <v>210</v>
      </c>
    </row>
    <row r="47" customFormat="false" ht="15" hidden="false" customHeight="true" outlineLevel="0" collapsed="false">
      <c r="A47" s="32" t="n">
        <v>46</v>
      </c>
      <c r="B47" s="33" t="s">
        <v>95</v>
      </c>
      <c r="C47" s="33" t="s">
        <v>87</v>
      </c>
      <c r="D47" s="33" t="s">
        <v>64</v>
      </c>
      <c r="E47" s="33" t="s">
        <v>132</v>
      </c>
      <c r="F47" s="32" t="s">
        <v>211</v>
      </c>
      <c r="G47" s="33" t="n">
        <v>93</v>
      </c>
      <c r="H47" s="34" t="n">
        <f aca="false">IF(F47="Percentage",G47,IF(OR(F47="CGPA",F47="SGPA"),G47*Assumptions!$B$3,""))</f>
        <v>93</v>
      </c>
      <c r="I47" s="32" t="str">
        <f aca="false">IF(AND(ISNUMBER(H47),H47&gt;=Assumptions!$B$4),"Yes","No")</f>
        <v>Yes</v>
      </c>
      <c r="J47" s="34" t="n">
        <f aca="false">IF(I47="Yes",H47,"")</f>
        <v>93</v>
      </c>
      <c r="K47" s="32" t="s">
        <v>74</v>
      </c>
      <c r="L47" s="34" t="n">
        <f aca="false">INDEX(Assumptions!$B$10:$B$15,MATCH(K47,Assumptions!$A$10:$A$15,0))</f>
        <v>75</v>
      </c>
      <c r="M47" s="32" t="n">
        <v>4</v>
      </c>
      <c r="N47" s="32" t="n">
        <v>3</v>
      </c>
      <c r="O47" s="32" t="n">
        <v>2</v>
      </c>
      <c r="P47" s="32" t="n">
        <v>3</v>
      </c>
      <c r="Q47" s="32" t="n">
        <v>5</v>
      </c>
      <c r="R47" s="32" t="n">
        <v>4</v>
      </c>
      <c r="S47" s="32" t="n">
        <v>3</v>
      </c>
      <c r="T47" s="32" t="n">
        <v>4</v>
      </c>
      <c r="U47" s="35" t="n">
        <f aca="false">AVERAGE(O47,Q47,R47,S47)</f>
        <v>3.5</v>
      </c>
      <c r="V47" s="32" t="str">
        <f aca="false">IF(U47&lt;Assumptions!$B$5,"Low",IF(U47&gt;=Assumptions!$B$6,"High","Medium"))</f>
        <v>Medium</v>
      </c>
      <c r="W47" s="33" t="s">
        <v>220</v>
      </c>
    </row>
    <row r="48" customFormat="false" ht="15" hidden="false" customHeight="true" outlineLevel="0" collapsed="false">
      <c r="A48" s="32" t="n">
        <v>47</v>
      </c>
      <c r="B48" s="33" t="s">
        <v>95</v>
      </c>
      <c r="C48" s="33" t="s">
        <v>96</v>
      </c>
      <c r="D48" s="33" t="s">
        <v>76</v>
      </c>
      <c r="E48" s="33" t="s">
        <v>133</v>
      </c>
      <c r="F48" s="32" t="s">
        <v>211</v>
      </c>
      <c r="G48" s="33" t="n">
        <v>78</v>
      </c>
      <c r="H48" s="34" t="n">
        <f aca="false">IF(F48="Percentage",G48,IF(OR(F48="CGPA",F48="SGPA"),G48*Assumptions!$B$3,""))</f>
        <v>78</v>
      </c>
      <c r="I48" s="32" t="str">
        <f aca="false">IF(AND(ISNUMBER(H48),H48&gt;=Assumptions!$B$4),"Yes","No")</f>
        <v>Yes</v>
      </c>
      <c r="J48" s="34" t="n">
        <f aca="false">IF(I48="Yes",H48,"")</f>
        <v>78</v>
      </c>
      <c r="K48" s="32" t="s">
        <v>67</v>
      </c>
      <c r="L48" s="34" t="n">
        <f aca="false">INDEX(Assumptions!$B$10:$B$15,MATCH(K48,Assumptions!$A$10:$A$15,0))</f>
        <v>55</v>
      </c>
      <c r="M48" s="32" t="n">
        <v>2</v>
      </c>
      <c r="N48" s="32" t="n">
        <v>3</v>
      </c>
      <c r="O48" s="32" t="n">
        <v>4</v>
      </c>
      <c r="P48" s="32" t="n">
        <v>3</v>
      </c>
      <c r="Q48" s="32" t="n">
        <v>4</v>
      </c>
      <c r="R48" s="32" t="n">
        <v>3</v>
      </c>
      <c r="S48" s="32" t="n">
        <v>4</v>
      </c>
      <c r="T48" s="32" t="n">
        <v>3</v>
      </c>
      <c r="U48" s="35" t="n">
        <f aca="false">AVERAGE(O48,Q48,R48,S48)</f>
        <v>3.75</v>
      </c>
      <c r="V48" s="32" t="str">
        <f aca="false">IF(U48&lt;Assumptions!$B$5,"Low",IF(U48&gt;=Assumptions!$B$6,"High","Medium"))</f>
        <v>Medium</v>
      </c>
      <c r="W48" s="33" t="s">
        <v>220</v>
      </c>
    </row>
    <row r="49" customFormat="false" ht="15" hidden="false" customHeight="true" outlineLevel="0" collapsed="false">
      <c r="A49" s="32" t="n">
        <v>48</v>
      </c>
      <c r="B49" s="33" t="s">
        <v>62</v>
      </c>
      <c r="C49" s="33" t="s">
        <v>96</v>
      </c>
      <c r="D49" s="33" t="s">
        <v>76</v>
      </c>
      <c r="E49" s="33" t="s">
        <v>134</v>
      </c>
      <c r="F49" s="32" t="s">
        <v>211</v>
      </c>
      <c r="G49" s="33" t="n">
        <v>76</v>
      </c>
      <c r="H49" s="34" t="n">
        <f aca="false">IF(F49="Percentage",G49,IF(OR(F49="CGPA",F49="SGPA"),G49*Assumptions!$B$3,""))</f>
        <v>76</v>
      </c>
      <c r="I49" s="32" t="str">
        <f aca="false">IF(AND(ISNUMBER(H49),H49&gt;=Assumptions!$B$4),"Yes","No")</f>
        <v>Yes</v>
      </c>
      <c r="J49" s="34" t="n">
        <f aca="false">IF(I49="Yes",H49,"")</f>
        <v>76</v>
      </c>
      <c r="K49" s="32" t="s">
        <v>72</v>
      </c>
      <c r="L49" s="34" t="n">
        <f aca="false">INDEX(Assumptions!$B$10:$B$15,MATCH(K49,Assumptions!$A$10:$A$15,0))</f>
        <v>65</v>
      </c>
      <c r="M49" s="32" t="n">
        <v>3</v>
      </c>
      <c r="N49" s="32" t="n">
        <v>4</v>
      </c>
      <c r="O49" s="32" t="n">
        <v>3</v>
      </c>
      <c r="P49" s="32" t="n">
        <v>4</v>
      </c>
      <c r="Q49" s="32" t="n">
        <v>3</v>
      </c>
      <c r="R49" s="32" t="n">
        <v>4</v>
      </c>
      <c r="S49" s="32" t="n">
        <v>3</v>
      </c>
      <c r="T49" s="32" t="n">
        <v>4</v>
      </c>
      <c r="U49" s="35" t="n">
        <f aca="false">AVERAGE(O49,Q49,R49,S49)</f>
        <v>3.25</v>
      </c>
      <c r="V49" s="32" t="str">
        <f aca="false">IF(U49&lt;Assumptions!$B$5,"Low",IF(U49&gt;=Assumptions!$B$6,"High","Medium"))</f>
        <v>Low</v>
      </c>
      <c r="W49" s="33" t="s">
        <v>220</v>
      </c>
    </row>
    <row r="50" customFormat="false" ht="15" hidden="false" customHeight="true" outlineLevel="0" collapsed="false">
      <c r="A50" s="32" t="n">
        <v>49</v>
      </c>
      <c r="B50" s="33" t="s">
        <v>62</v>
      </c>
      <c r="C50" s="33" t="s">
        <v>87</v>
      </c>
      <c r="D50" s="33" t="s">
        <v>64</v>
      </c>
      <c r="E50" s="33" t="s">
        <v>135</v>
      </c>
      <c r="F50" s="32" t="s">
        <v>211</v>
      </c>
      <c r="G50" s="33" t="n">
        <v>72</v>
      </c>
      <c r="H50" s="34" t="n">
        <f aca="false">IF(F50="Percentage",G50,IF(OR(F50="CGPA",F50="SGPA"),G50*Assumptions!$B$3,""))</f>
        <v>72</v>
      </c>
      <c r="I50" s="32" t="str">
        <f aca="false">IF(AND(ISNUMBER(H50),H50&gt;=Assumptions!$B$4),"Yes","No")</f>
        <v>Yes</v>
      </c>
      <c r="J50" s="34" t="n">
        <f aca="false">IF(I50="Yes",H50,"")</f>
        <v>72</v>
      </c>
      <c r="K50" s="32" t="s">
        <v>74</v>
      </c>
      <c r="L50" s="34" t="n">
        <f aca="false">INDEX(Assumptions!$B$10:$B$15,MATCH(K50,Assumptions!$A$10:$A$15,0))</f>
        <v>75</v>
      </c>
      <c r="M50" s="32" t="n">
        <v>2</v>
      </c>
      <c r="N50" s="32" t="n">
        <v>3</v>
      </c>
      <c r="O50" s="32" t="n">
        <v>2</v>
      </c>
      <c r="P50" s="32" t="n">
        <v>4</v>
      </c>
      <c r="Q50" s="32" t="n">
        <v>3</v>
      </c>
      <c r="R50" s="32" t="n">
        <v>4</v>
      </c>
      <c r="S50" s="32" t="n">
        <v>3</v>
      </c>
      <c r="T50" s="32" t="n">
        <v>3</v>
      </c>
      <c r="U50" s="35" t="n">
        <f aca="false">AVERAGE(O50,Q50,R50,S50)</f>
        <v>3</v>
      </c>
      <c r="V50" s="32" t="str">
        <f aca="false">IF(U50&lt;Assumptions!$B$5,"Low",IF(U50&gt;=Assumptions!$B$6,"High","Medium"))</f>
        <v>Low</v>
      </c>
      <c r="W50" s="33" t="s">
        <v>220</v>
      </c>
    </row>
    <row r="51" customFormat="false" ht="15" hidden="false" customHeight="true" outlineLevel="0" collapsed="false">
      <c r="A51" s="32" t="n">
        <v>50</v>
      </c>
      <c r="B51" s="33" t="s">
        <v>80</v>
      </c>
      <c r="C51" s="33" t="s">
        <v>213</v>
      </c>
      <c r="D51" s="33" t="s">
        <v>64</v>
      </c>
      <c r="E51" s="33" t="s">
        <v>234</v>
      </c>
      <c r="F51" s="32" t="s">
        <v>211</v>
      </c>
      <c r="G51" s="33" t="n">
        <v>86</v>
      </c>
      <c r="H51" s="34" t="n">
        <f aca="false">IF(F51="Percentage",G51,IF(OR(F51="CGPA",F51="SGPA"),G51*Assumptions!$B$3,""))</f>
        <v>86</v>
      </c>
      <c r="I51" s="32" t="str">
        <f aca="false">IF(AND(ISNUMBER(H51),H51&gt;=Assumptions!$B$4),"Yes","No")</f>
        <v>Yes</v>
      </c>
      <c r="J51" s="34" t="n">
        <f aca="false">IF(I51="Yes",H51,"")</f>
        <v>86</v>
      </c>
      <c r="K51" s="32" t="s">
        <v>74</v>
      </c>
      <c r="L51" s="34" t="n">
        <f aca="false">INDEX(Assumptions!$B$10:$B$15,MATCH(K51,Assumptions!$A$10:$A$15,0))</f>
        <v>75</v>
      </c>
      <c r="M51" s="32" t="n">
        <v>3</v>
      </c>
      <c r="N51" s="32" t="n">
        <v>4</v>
      </c>
      <c r="O51" s="32" t="n">
        <v>3</v>
      </c>
      <c r="P51" s="32" t="n">
        <v>5</v>
      </c>
      <c r="Q51" s="32" t="n">
        <v>4</v>
      </c>
      <c r="R51" s="32" t="n">
        <v>4</v>
      </c>
      <c r="S51" s="32" t="n">
        <v>6</v>
      </c>
      <c r="T51" s="32" t="n">
        <v>4</v>
      </c>
      <c r="U51" s="35" t="n">
        <f aca="false">AVERAGE(O51,Q51,R51,S51)</f>
        <v>4.25</v>
      </c>
      <c r="V51" s="32" t="str">
        <f aca="false">IF(U51&lt;Assumptions!$B$5,"Low",IF(U51&gt;=Assumptions!$B$6,"High","Medium"))</f>
        <v>Medium</v>
      </c>
      <c r="W51" s="33" t="s">
        <v>217</v>
      </c>
    </row>
    <row r="52" customFormat="false" ht="15" hidden="false" customHeight="true" outlineLevel="0" collapsed="false">
      <c r="A52" s="32" t="n">
        <v>51</v>
      </c>
      <c r="B52" s="33" t="s">
        <v>62</v>
      </c>
      <c r="C52" s="33" t="s">
        <v>68</v>
      </c>
      <c r="D52" s="33" t="s">
        <v>64</v>
      </c>
      <c r="E52" s="33" t="s">
        <v>138</v>
      </c>
      <c r="F52" s="32" t="s">
        <v>211</v>
      </c>
      <c r="G52" s="33" t="n">
        <v>83</v>
      </c>
      <c r="H52" s="34" t="n">
        <f aca="false">IF(F52="Percentage",G52,IF(OR(F52="CGPA",F52="SGPA"),G52*Assumptions!$B$3,""))</f>
        <v>83</v>
      </c>
      <c r="I52" s="32" t="str">
        <f aca="false">IF(AND(ISNUMBER(H52),H52&gt;=Assumptions!$B$4),"Yes","No")</f>
        <v>Yes</v>
      </c>
      <c r="J52" s="34" t="n">
        <f aca="false">IF(I52="Yes",H52,"")</f>
        <v>83</v>
      </c>
      <c r="K52" s="32" t="s">
        <v>72</v>
      </c>
      <c r="L52" s="34" t="n">
        <f aca="false">INDEX(Assumptions!$B$10:$B$15,MATCH(K52,Assumptions!$A$10:$A$15,0))</f>
        <v>65</v>
      </c>
      <c r="M52" s="32" t="n">
        <v>4</v>
      </c>
      <c r="N52" s="32" t="n">
        <v>3</v>
      </c>
      <c r="O52" s="32" t="n">
        <v>4</v>
      </c>
      <c r="P52" s="32" t="n">
        <v>3</v>
      </c>
      <c r="Q52" s="32" t="n">
        <v>4</v>
      </c>
      <c r="R52" s="32" t="n">
        <v>3</v>
      </c>
      <c r="S52" s="32" t="n">
        <v>4</v>
      </c>
      <c r="T52" s="32" t="n">
        <v>3</v>
      </c>
      <c r="U52" s="35" t="n">
        <f aca="false">AVERAGE(O52,Q52,R52,S52)</f>
        <v>3.75</v>
      </c>
      <c r="V52" s="32" t="str">
        <f aca="false">IF(U52&lt;Assumptions!$B$5,"Low",IF(U52&gt;=Assumptions!$B$6,"High","Medium"))</f>
        <v>Medium</v>
      </c>
      <c r="W52" s="33" t="s">
        <v>220</v>
      </c>
    </row>
    <row r="53" customFormat="false" ht="15" hidden="false" customHeight="true" outlineLevel="0" collapsed="false">
      <c r="A53" s="32" t="n">
        <v>52</v>
      </c>
      <c r="B53" s="33" t="s">
        <v>62</v>
      </c>
      <c r="C53" s="33" t="s">
        <v>73</v>
      </c>
      <c r="D53" s="33" t="s">
        <v>92</v>
      </c>
      <c r="E53" s="33" t="s">
        <v>139</v>
      </c>
      <c r="F53" s="32" t="s">
        <v>209</v>
      </c>
      <c r="G53" s="33" t="n">
        <v>5.36</v>
      </c>
      <c r="H53" s="34" t="n">
        <f aca="false">IF(F53="Percentage",G53,IF(OR(F53="CGPA",F53="SGPA"),G53*Assumptions!$B$3,""))</f>
        <v>50.92</v>
      </c>
      <c r="I53" s="32" t="str">
        <f aca="false">IF(AND(ISNUMBER(H53),H53&gt;=Assumptions!$B$4),"Yes","No")</f>
        <v>Yes</v>
      </c>
      <c r="J53" s="34" t="n">
        <f aca="false">IF(I53="Yes",H53,"")</f>
        <v>50.92</v>
      </c>
      <c r="K53" s="32" t="s">
        <v>74</v>
      </c>
      <c r="L53" s="34" t="n">
        <f aca="false">INDEX(Assumptions!$B$10:$B$15,MATCH(K53,Assumptions!$A$10:$A$15,0))</f>
        <v>75</v>
      </c>
      <c r="M53" s="32" t="n">
        <v>3</v>
      </c>
      <c r="N53" s="32" t="n">
        <v>4</v>
      </c>
      <c r="O53" s="32" t="n">
        <v>3</v>
      </c>
      <c r="P53" s="32" t="n">
        <v>4</v>
      </c>
      <c r="Q53" s="32" t="n">
        <v>3</v>
      </c>
      <c r="R53" s="32" t="n">
        <v>4</v>
      </c>
      <c r="S53" s="32" t="n">
        <v>3</v>
      </c>
      <c r="T53" s="32" t="n">
        <v>4</v>
      </c>
      <c r="U53" s="35" t="n">
        <f aca="false">AVERAGE(O53,Q53,R53,S53)</f>
        <v>3.25</v>
      </c>
      <c r="V53" s="32" t="str">
        <f aca="false">IF(U53&lt;Assumptions!$B$5,"Low",IF(U53&gt;=Assumptions!$B$6,"High","Medium"))</f>
        <v>Low</v>
      </c>
      <c r="W53" s="33" t="s">
        <v>221</v>
      </c>
    </row>
    <row r="54" customFormat="false" ht="15" hidden="false" customHeight="true" outlineLevel="0" collapsed="false">
      <c r="A54" s="32" t="n">
        <v>53</v>
      </c>
      <c r="B54" s="33" t="s">
        <v>62</v>
      </c>
      <c r="C54" s="33" t="s">
        <v>96</v>
      </c>
      <c r="D54" s="33" t="s">
        <v>76</v>
      </c>
      <c r="E54" s="33" t="s">
        <v>141</v>
      </c>
      <c r="F54" s="32" t="s">
        <v>209</v>
      </c>
      <c r="G54" s="33" t="n">
        <v>9.67</v>
      </c>
      <c r="H54" s="34" t="n">
        <f aca="false">IF(F54="Percentage",G54,IF(OR(F54="CGPA",F54="SGPA"),G54*Assumptions!$B$3,""))</f>
        <v>91.865</v>
      </c>
      <c r="I54" s="32" t="str">
        <f aca="false">IF(AND(ISNUMBER(H54),H54&gt;=Assumptions!$B$4),"Yes","No")</f>
        <v>Yes</v>
      </c>
      <c r="J54" s="34" t="n">
        <f aca="false">IF(I54="Yes",H54,"")</f>
        <v>91.865</v>
      </c>
      <c r="K54" s="32" t="s">
        <v>74</v>
      </c>
      <c r="L54" s="34" t="n">
        <f aca="false">INDEX(Assumptions!$B$10:$B$15,MATCH(K54,Assumptions!$A$10:$A$15,0))</f>
        <v>75</v>
      </c>
      <c r="M54" s="32" t="n">
        <v>3</v>
      </c>
      <c r="N54" s="32" t="n">
        <v>6</v>
      </c>
      <c r="O54" s="32" t="n">
        <v>4</v>
      </c>
      <c r="P54" s="32" t="n">
        <v>6</v>
      </c>
      <c r="Q54" s="32" t="n">
        <v>3</v>
      </c>
      <c r="R54" s="32" t="n">
        <v>4</v>
      </c>
      <c r="S54" s="32" t="n">
        <v>3</v>
      </c>
      <c r="T54" s="32" t="n">
        <v>4</v>
      </c>
      <c r="U54" s="35" t="n">
        <f aca="false">AVERAGE(O54,Q54,R54,S54)</f>
        <v>3.5</v>
      </c>
      <c r="V54" s="32" t="str">
        <f aca="false">IF(U54&lt;Assumptions!$B$5,"Low",IF(U54&gt;=Assumptions!$B$6,"High","Medium"))</f>
        <v>Medium</v>
      </c>
      <c r="W54" s="33" t="s">
        <v>221</v>
      </c>
    </row>
    <row r="55" customFormat="false" ht="15" hidden="false" customHeight="true" outlineLevel="0" collapsed="false">
      <c r="A55" s="32" t="n">
        <v>54</v>
      </c>
      <c r="B55" s="33" t="s">
        <v>80</v>
      </c>
      <c r="C55" s="33" t="s">
        <v>96</v>
      </c>
      <c r="D55" s="33" t="s">
        <v>76</v>
      </c>
      <c r="E55" s="33" t="s">
        <v>143</v>
      </c>
      <c r="F55" s="32" t="s">
        <v>209</v>
      </c>
      <c r="G55" s="33" t="n">
        <v>6.91</v>
      </c>
      <c r="H55" s="34" t="n">
        <f aca="false">IF(F55="Percentage",G55,IF(OR(F55="CGPA",F55="SGPA"),G55*Assumptions!$B$3,""))</f>
        <v>65.645</v>
      </c>
      <c r="I55" s="32" t="str">
        <f aca="false">IF(AND(ISNUMBER(H55),H55&gt;=Assumptions!$B$4),"Yes","No")</f>
        <v>Yes</v>
      </c>
      <c r="J55" s="34" t="n">
        <f aca="false">IF(I55="Yes",H55,"")</f>
        <v>65.645</v>
      </c>
      <c r="K55" s="32" t="s">
        <v>70</v>
      </c>
      <c r="L55" s="34" t="n">
        <f aca="false">INDEX(Assumptions!$B$10:$B$15,MATCH(K55,Assumptions!$A$10:$A$15,0))</f>
        <v>45</v>
      </c>
      <c r="M55" s="32" t="n">
        <v>3</v>
      </c>
      <c r="N55" s="32" t="n">
        <v>4</v>
      </c>
      <c r="O55" s="32" t="n">
        <v>4</v>
      </c>
      <c r="P55" s="32" t="n">
        <v>4</v>
      </c>
      <c r="Q55" s="32" t="n">
        <v>4</v>
      </c>
      <c r="R55" s="32" t="n">
        <v>3</v>
      </c>
      <c r="S55" s="32" t="n">
        <v>4</v>
      </c>
      <c r="T55" s="32" t="n">
        <v>4</v>
      </c>
      <c r="U55" s="35" t="n">
        <f aca="false">AVERAGE(O55,Q55,R55,S55)</f>
        <v>3.75</v>
      </c>
      <c r="V55" s="32" t="str">
        <f aca="false">IF(U55&lt;Assumptions!$B$5,"Low",IF(U55&gt;=Assumptions!$B$6,"High","Medium"))</f>
        <v>Medium</v>
      </c>
      <c r="W55" s="33" t="s">
        <v>221</v>
      </c>
    </row>
    <row r="56" customFormat="false" ht="15" hidden="false" customHeight="true" outlineLevel="0" collapsed="false">
      <c r="A56" s="32" t="n">
        <v>55</v>
      </c>
      <c r="B56" s="33" t="s">
        <v>62</v>
      </c>
      <c r="C56" s="33" t="s">
        <v>87</v>
      </c>
      <c r="D56" s="33" t="s">
        <v>92</v>
      </c>
      <c r="E56" s="33" t="s">
        <v>145</v>
      </c>
      <c r="F56" s="32" t="s">
        <v>211</v>
      </c>
      <c r="G56" s="33" t="n">
        <v>81</v>
      </c>
      <c r="H56" s="34" t="n">
        <f aca="false">IF(F56="Percentage",G56,IF(OR(F56="CGPA",F56="SGPA"),G56*Assumptions!$B$3,""))</f>
        <v>81</v>
      </c>
      <c r="I56" s="32" t="str">
        <f aca="false">IF(AND(ISNUMBER(H56),H56&gt;=Assumptions!$B$4),"Yes","No")</f>
        <v>Yes</v>
      </c>
      <c r="J56" s="34" t="n">
        <f aca="false">IF(I56="Yes",H56,"")</f>
        <v>81</v>
      </c>
      <c r="K56" s="32" t="s">
        <v>67</v>
      </c>
      <c r="L56" s="34" t="n">
        <f aca="false">INDEX(Assumptions!$B$10:$B$15,MATCH(K56,Assumptions!$A$10:$A$15,0))</f>
        <v>55</v>
      </c>
      <c r="M56" s="32" t="n">
        <v>2</v>
      </c>
      <c r="N56" s="32" t="n">
        <v>3</v>
      </c>
      <c r="O56" s="32" t="n">
        <v>4</v>
      </c>
      <c r="P56" s="32" t="n">
        <v>3</v>
      </c>
      <c r="Q56" s="32" t="n">
        <v>4</v>
      </c>
      <c r="R56" s="32" t="n">
        <v>3</v>
      </c>
      <c r="S56" s="32" t="n">
        <v>4</v>
      </c>
      <c r="T56" s="32" t="n">
        <v>4</v>
      </c>
      <c r="U56" s="35" t="n">
        <f aca="false">AVERAGE(O56,Q56,R56,S56)</f>
        <v>3.75</v>
      </c>
      <c r="V56" s="32" t="str">
        <f aca="false">IF(U56&lt;Assumptions!$B$5,"Low",IF(U56&gt;=Assumptions!$B$6,"High","Medium"))</f>
        <v>Medium</v>
      </c>
      <c r="W56" s="33" t="s">
        <v>220</v>
      </c>
    </row>
    <row r="57" customFormat="false" ht="15" hidden="false" customHeight="true" outlineLevel="0" collapsed="false">
      <c r="A57" s="32" t="n">
        <v>56</v>
      </c>
      <c r="B57" s="33" t="s">
        <v>80</v>
      </c>
      <c r="C57" s="33" t="s">
        <v>71</v>
      </c>
      <c r="D57" s="33" t="s">
        <v>97</v>
      </c>
      <c r="E57" s="33" t="s">
        <v>146</v>
      </c>
      <c r="F57" s="32" t="s">
        <v>211</v>
      </c>
      <c r="G57" s="33" t="n">
        <v>48.3</v>
      </c>
      <c r="H57" s="34" t="n">
        <f aca="false">IF(F57="Percentage",G57,IF(OR(F57="CGPA",F57="SGPA"),G57*Assumptions!$B$3,""))</f>
        <v>48.3</v>
      </c>
      <c r="I57" s="32" t="str">
        <f aca="false">IF(AND(ISNUMBER(H57),H57&gt;=Assumptions!$B$4),"Yes","No")</f>
        <v>Yes</v>
      </c>
      <c r="J57" s="34" t="n">
        <f aca="false">IF(I57="Yes",H57,"")</f>
        <v>48.3</v>
      </c>
      <c r="K57" s="32" t="s">
        <v>67</v>
      </c>
      <c r="L57" s="34" t="n">
        <f aca="false">INDEX(Assumptions!$B$10:$B$15,MATCH(K57,Assumptions!$A$10:$A$15,0))</f>
        <v>55</v>
      </c>
      <c r="M57" s="32" t="n">
        <v>5</v>
      </c>
      <c r="N57" s="32" t="n">
        <v>3</v>
      </c>
      <c r="O57" s="32" t="n">
        <v>4</v>
      </c>
      <c r="P57" s="32" t="n">
        <v>3</v>
      </c>
      <c r="Q57" s="32" t="n">
        <v>4</v>
      </c>
      <c r="R57" s="32" t="n">
        <v>3</v>
      </c>
      <c r="S57" s="32" t="n">
        <v>4</v>
      </c>
      <c r="T57" s="32" t="n">
        <v>5</v>
      </c>
      <c r="U57" s="35" t="n">
        <f aca="false">AVERAGE(O57,Q57,R57,S57)</f>
        <v>3.75</v>
      </c>
      <c r="V57" s="32" t="str">
        <f aca="false">IF(U57&lt;Assumptions!$B$5,"Low",IF(U57&gt;=Assumptions!$B$6,"High","Medium"))</f>
        <v>Medium</v>
      </c>
      <c r="W57" s="33" t="s">
        <v>220</v>
      </c>
    </row>
    <row r="58" customFormat="false" ht="15" hidden="false" customHeight="true" outlineLevel="0" collapsed="false">
      <c r="A58" s="32" t="n">
        <v>57</v>
      </c>
      <c r="B58" s="33" t="s">
        <v>95</v>
      </c>
      <c r="C58" s="33" t="s">
        <v>96</v>
      </c>
      <c r="D58" s="33" t="s">
        <v>92</v>
      </c>
      <c r="E58" s="33" t="s">
        <v>147</v>
      </c>
      <c r="F58" s="32" t="s">
        <v>211</v>
      </c>
      <c r="G58" s="33" t="n">
        <v>56</v>
      </c>
      <c r="H58" s="34" t="n">
        <f aca="false">IF(F58="Percentage",G58,IF(OR(F58="CGPA",F58="SGPA"),G58*Assumptions!$B$3,""))</f>
        <v>56</v>
      </c>
      <c r="I58" s="32" t="str">
        <f aca="false">IF(AND(ISNUMBER(H58),H58&gt;=Assumptions!$B$4),"Yes","No")</f>
        <v>Yes</v>
      </c>
      <c r="J58" s="34" t="n">
        <f aca="false">IF(I58="Yes",H58,"")</f>
        <v>56</v>
      </c>
      <c r="K58" s="32" t="s">
        <v>72</v>
      </c>
      <c r="L58" s="34" t="n">
        <f aca="false">INDEX(Assumptions!$B$10:$B$15,MATCH(K58,Assumptions!$A$10:$A$15,0))</f>
        <v>65</v>
      </c>
      <c r="M58" s="32" t="n">
        <v>4</v>
      </c>
      <c r="N58" s="32" t="n">
        <v>3</v>
      </c>
      <c r="O58" s="32" t="n">
        <v>3</v>
      </c>
      <c r="P58" s="32" t="n">
        <v>4</v>
      </c>
      <c r="Q58" s="32" t="n">
        <v>4</v>
      </c>
      <c r="R58" s="32" t="n">
        <v>3</v>
      </c>
      <c r="S58" s="32" t="n">
        <v>3</v>
      </c>
      <c r="T58" s="32" t="n">
        <v>4</v>
      </c>
      <c r="U58" s="35" t="n">
        <f aca="false">AVERAGE(O58,Q58,R58,S58)</f>
        <v>3.25</v>
      </c>
      <c r="V58" s="32" t="str">
        <f aca="false">IF(U58&lt;Assumptions!$B$5,"Low",IF(U58&gt;=Assumptions!$B$6,"High","Medium"))</f>
        <v>Low</v>
      </c>
      <c r="W58" s="33" t="s">
        <v>220</v>
      </c>
    </row>
    <row r="59" customFormat="false" ht="15" hidden="false" customHeight="true" outlineLevel="0" collapsed="false">
      <c r="A59" s="32" t="n">
        <v>58</v>
      </c>
      <c r="B59" s="33" t="s">
        <v>95</v>
      </c>
      <c r="C59" s="33" t="s">
        <v>96</v>
      </c>
      <c r="D59" s="33" t="s">
        <v>92</v>
      </c>
      <c r="E59" s="33" t="s">
        <v>148</v>
      </c>
      <c r="F59" s="32" t="s">
        <v>209</v>
      </c>
      <c r="G59" s="33" t="n">
        <v>6.87</v>
      </c>
      <c r="H59" s="34" t="n">
        <f aca="false">IF(F59="Percentage",G59,IF(OR(F59="CGPA",F59="SGPA"),G59*Assumptions!$B$3,""))</f>
        <v>65.265</v>
      </c>
      <c r="I59" s="32" t="str">
        <f aca="false">IF(AND(ISNUMBER(H59),H59&gt;=Assumptions!$B$4),"Yes","No")</f>
        <v>Yes</v>
      </c>
      <c r="J59" s="34" t="n">
        <f aca="false">IF(I59="Yes",H59,"")</f>
        <v>65.265</v>
      </c>
      <c r="K59" s="32" t="s">
        <v>84</v>
      </c>
      <c r="L59" s="34" t="n">
        <f aca="false">INDEX(Assumptions!$B$10:$B$15,MATCH(K59,Assumptions!$A$10:$A$15,0))</f>
        <v>85</v>
      </c>
      <c r="M59" s="32" t="n">
        <v>3</v>
      </c>
      <c r="N59" s="32" t="n">
        <v>4</v>
      </c>
      <c r="O59" s="32" t="n">
        <v>3</v>
      </c>
      <c r="P59" s="32" t="n">
        <v>5</v>
      </c>
      <c r="Q59" s="32" t="n">
        <v>4</v>
      </c>
      <c r="R59" s="32" t="n">
        <v>3</v>
      </c>
      <c r="S59" s="32" t="n">
        <v>5</v>
      </c>
      <c r="T59" s="32" t="n">
        <v>4</v>
      </c>
      <c r="U59" s="35" t="n">
        <f aca="false">AVERAGE(O59,Q59,R59,S59)</f>
        <v>3.75</v>
      </c>
      <c r="V59" s="32" t="str">
        <f aca="false">IF(U59&lt;Assumptions!$B$5,"Low",IF(U59&gt;=Assumptions!$B$6,"High","Medium"))</f>
        <v>Medium</v>
      </c>
      <c r="W59" s="33" t="s">
        <v>221</v>
      </c>
    </row>
    <row r="60" customFormat="false" ht="15" hidden="false" customHeight="true" outlineLevel="0" collapsed="false">
      <c r="A60" s="32" t="n">
        <v>59</v>
      </c>
      <c r="B60" s="33" t="s">
        <v>80</v>
      </c>
      <c r="C60" s="33" t="s">
        <v>73</v>
      </c>
      <c r="D60" s="33" t="s">
        <v>92</v>
      </c>
      <c r="E60" s="33" t="s">
        <v>235</v>
      </c>
      <c r="F60" s="32" t="s">
        <v>211</v>
      </c>
      <c r="G60" s="33" t="n">
        <v>58.3</v>
      </c>
      <c r="H60" s="34" t="n">
        <f aca="false">IF(F60="Percentage",G60,IF(OR(F60="CGPA",F60="SGPA"),G60*Assumptions!$B$3,""))</f>
        <v>58.3</v>
      </c>
      <c r="I60" s="32" t="str">
        <f aca="false">IF(AND(ISNUMBER(H60),H60&gt;=Assumptions!$B$4),"Yes","No")</f>
        <v>Yes</v>
      </c>
      <c r="J60" s="34" t="n">
        <f aca="false">IF(I60="Yes",H60,"")</f>
        <v>58.3</v>
      </c>
      <c r="K60" s="32" t="s">
        <v>72</v>
      </c>
      <c r="L60" s="34" t="n">
        <f aca="false">INDEX(Assumptions!$B$10:$B$15,MATCH(K60,Assumptions!$A$10:$A$15,0))</f>
        <v>65</v>
      </c>
      <c r="M60" s="32" t="n">
        <v>4</v>
      </c>
      <c r="N60" s="32" t="n">
        <v>3</v>
      </c>
      <c r="O60" s="32" t="n">
        <v>4</v>
      </c>
      <c r="P60" s="32" t="n">
        <v>3</v>
      </c>
      <c r="Q60" s="32" t="n">
        <v>5</v>
      </c>
      <c r="R60" s="32" t="n">
        <v>5</v>
      </c>
      <c r="S60" s="32" t="n">
        <v>6</v>
      </c>
      <c r="T60" s="32" t="n">
        <v>6</v>
      </c>
      <c r="U60" s="35" t="n">
        <f aca="false">AVERAGE(O60,Q60,R60,S60)</f>
        <v>5</v>
      </c>
      <c r="V60" s="32" t="str">
        <f aca="false">IF(U60&lt;Assumptions!$B$5,"Low",IF(U60&gt;=Assumptions!$B$6,"High","Medium"))</f>
        <v>High</v>
      </c>
      <c r="W60" s="33" t="s">
        <v>212</v>
      </c>
    </row>
    <row r="61" customFormat="false" ht="15" hidden="false" customHeight="true" outlineLevel="0" collapsed="false">
      <c r="A61" s="32" t="n">
        <v>60</v>
      </c>
      <c r="B61" s="33" t="s">
        <v>95</v>
      </c>
      <c r="C61" s="33" t="s">
        <v>87</v>
      </c>
      <c r="D61" s="33" t="s">
        <v>97</v>
      </c>
      <c r="E61" s="33" t="s">
        <v>236</v>
      </c>
      <c r="F61" s="32" t="s">
        <v>211</v>
      </c>
      <c r="G61" s="33" t="n">
        <v>76</v>
      </c>
      <c r="H61" s="34" t="n">
        <f aca="false">IF(F61="Percentage",G61,IF(OR(F61="CGPA",F61="SGPA"),G61*Assumptions!$B$3,""))</f>
        <v>76</v>
      </c>
      <c r="I61" s="32" t="str">
        <f aca="false">IF(AND(ISNUMBER(H61),H61&gt;=Assumptions!$B$4),"Yes","No")</f>
        <v>Yes</v>
      </c>
      <c r="J61" s="34" t="n">
        <f aca="false">IF(I61="Yes",H61,"")</f>
        <v>76</v>
      </c>
      <c r="K61" s="32" t="s">
        <v>67</v>
      </c>
      <c r="L61" s="34" t="n">
        <f aca="false">INDEX(Assumptions!$B$10:$B$15,MATCH(K61,Assumptions!$A$10:$A$15,0))</f>
        <v>55</v>
      </c>
      <c r="M61" s="32" t="n">
        <v>4</v>
      </c>
      <c r="N61" s="32" t="n">
        <v>3</v>
      </c>
      <c r="O61" s="32" t="n">
        <v>3</v>
      </c>
      <c r="P61" s="32" t="n">
        <v>3</v>
      </c>
      <c r="Q61" s="32" t="n">
        <v>4</v>
      </c>
      <c r="R61" s="32" t="n">
        <v>4</v>
      </c>
      <c r="S61" s="32" t="n">
        <v>3</v>
      </c>
      <c r="T61" s="32" t="n">
        <v>4</v>
      </c>
      <c r="U61" s="35" t="n">
        <f aca="false">AVERAGE(O61,Q61,R61,S61)</f>
        <v>3.5</v>
      </c>
      <c r="V61" s="32" t="str">
        <f aca="false">IF(U61&lt;Assumptions!$B$5,"Low",IF(U61&gt;=Assumptions!$B$6,"High","Medium"))</f>
        <v>Medium</v>
      </c>
      <c r="W61" s="33" t="s">
        <v>212</v>
      </c>
    </row>
    <row r="62" customFormat="false" ht="15" hidden="false" customHeight="true" outlineLevel="0" collapsed="false">
      <c r="A62" s="32" t="n">
        <v>61</v>
      </c>
      <c r="B62" s="33" t="s">
        <v>62</v>
      </c>
      <c r="C62" s="33" t="s">
        <v>213</v>
      </c>
      <c r="D62" s="33" t="s">
        <v>64</v>
      </c>
      <c r="E62" s="33" t="s">
        <v>153</v>
      </c>
      <c r="F62" s="32" t="s">
        <v>209</v>
      </c>
      <c r="G62" s="33" t="n">
        <v>7.63</v>
      </c>
      <c r="H62" s="34" t="n">
        <f aca="false">IF(F62="Percentage",G62,IF(OR(F62="CGPA",F62="SGPA"),G62*Assumptions!$B$3,""))</f>
        <v>72.485</v>
      </c>
      <c r="I62" s="32" t="str">
        <f aca="false">IF(AND(ISNUMBER(H62),H62&gt;=Assumptions!$B$4),"Yes","No")</f>
        <v>Yes</v>
      </c>
      <c r="J62" s="34" t="n">
        <f aca="false">IF(I62="Yes",H62,"")</f>
        <v>72.485</v>
      </c>
      <c r="K62" s="32" t="s">
        <v>84</v>
      </c>
      <c r="L62" s="34" t="n">
        <f aca="false">INDEX(Assumptions!$B$10:$B$15,MATCH(K62,Assumptions!$A$10:$A$15,0))</f>
        <v>85</v>
      </c>
      <c r="M62" s="32" t="n">
        <v>1</v>
      </c>
      <c r="N62" s="32" t="n">
        <v>3</v>
      </c>
      <c r="O62" s="32" t="n">
        <v>3</v>
      </c>
      <c r="P62" s="32" t="n">
        <v>4</v>
      </c>
      <c r="Q62" s="32" t="n">
        <v>5</v>
      </c>
      <c r="R62" s="32" t="n">
        <v>6</v>
      </c>
      <c r="S62" s="32" t="n">
        <v>3</v>
      </c>
      <c r="T62" s="32" t="n">
        <v>5</v>
      </c>
      <c r="U62" s="35" t="n">
        <f aca="false">AVERAGE(O62,Q62,R62,S62)</f>
        <v>4.25</v>
      </c>
      <c r="V62" s="32" t="str">
        <f aca="false">IF(U62&lt;Assumptions!$B$5,"Low",IF(U62&gt;=Assumptions!$B$6,"High","Medium"))</f>
        <v>Medium</v>
      </c>
      <c r="W62" s="33" t="s">
        <v>230</v>
      </c>
    </row>
    <row r="63" customFormat="false" ht="15" hidden="false" customHeight="true" outlineLevel="0" collapsed="false">
      <c r="A63" s="32" t="n">
        <v>62</v>
      </c>
      <c r="B63" s="33" t="s">
        <v>80</v>
      </c>
      <c r="C63" s="33" t="s">
        <v>73</v>
      </c>
      <c r="D63" s="33" t="s">
        <v>97</v>
      </c>
      <c r="E63" s="33" t="s">
        <v>155</v>
      </c>
      <c r="F63" s="32" t="s">
        <v>211</v>
      </c>
      <c r="G63" s="33" t="n">
        <v>50</v>
      </c>
      <c r="H63" s="34" t="n">
        <f aca="false">IF(F63="Percentage",G63,IF(OR(F63="CGPA",F63="SGPA"),G63*Assumptions!$B$3,""))</f>
        <v>50</v>
      </c>
      <c r="I63" s="32" t="str">
        <f aca="false">IF(AND(ISNUMBER(H63),H63&gt;=Assumptions!$B$4),"Yes","No")</f>
        <v>Yes</v>
      </c>
      <c r="J63" s="34" t="n">
        <f aca="false">IF(I63="Yes",H63,"")</f>
        <v>50</v>
      </c>
      <c r="K63" s="32" t="s">
        <v>70</v>
      </c>
      <c r="L63" s="34" t="n">
        <f aca="false">INDEX(Assumptions!$B$10:$B$15,MATCH(K63,Assumptions!$A$10:$A$15,0))</f>
        <v>45</v>
      </c>
      <c r="M63" s="32" t="n">
        <v>6</v>
      </c>
      <c r="N63" s="32" t="n">
        <v>6</v>
      </c>
      <c r="O63" s="32" t="n">
        <v>6</v>
      </c>
      <c r="P63" s="32" t="n">
        <v>6</v>
      </c>
      <c r="Q63" s="32" t="n">
        <v>6</v>
      </c>
      <c r="R63" s="32" t="n">
        <v>6</v>
      </c>
      <c r="S63" s="32" t="n">
        <v>6</v>
      </c>
      <c r="T63" s="32" t="n">
        <v>6</v>
      </c>
      <c r="U63" s="35" t="n">
        <f aca="false">AVERAGE(O63,Q63,R63,S63)</f>
        <v>6</v>
      </c>
      <c r="V63" s="32" t="str">
        <f aca="false">IF(U63&lt;Assumptions!$B$5,"Low",IF(U63&gt;=Assumptions!$B$6,"High","Medium"))</f>
        <v>High</v>
      </c>
      <c r="W63" s="33"/>
    </row>
    <row r="64" customFormat="false" ht="15" hidden="false" customHeight="true" outlineLevel="0" collapsed="false">
      <c r="A64" s="32" t="n">
        <v>63</v>
      </c>
      <c r="B64" s="33" t="s">
        <v>62</v>
      </c>
      <c r="C64" s="33" t="s">
        <v>87</v>
      </c>
      <c r="D64" s="33" t="s">
        <v>92</v>
      </c>
      <c r="E64" s="33" t="s">
        <v>156</v>
      </c>
      <c r="F64" s="32" t="s">
        <v>211</v>
      </c>
      <c r="G64" s="33" t="n">
        <v>56</v>
      </c>
      <c r="H64" s="34" t="n">
        <f aca="false">IF(F64="Percentage",G64,IF(OR(F64="CGPA",F64="SGPA"),G64*Assumptions!$B$3,""))</f>
        <v>56</v>
      </c>
      <c r="I64" s="32" t="str">
        <f aca="false">IF(AND(ISNUMBER(H64),H64&gt;=Assumptions!$B$4),"Yes","No")</f>
        <v>Yes</v>
      </c>
      <c r="J64" s="34" t="n">
        <f aca="false">IF(I64="Yes",H64,"")</f>
        <v>56</v>
      </c>
      <c r="K64" s="32" t="s">
        <v>72</v>
      </c>
      <c r="L64" s="34" t="n">
        <f aca="false">INDEX(Assumptions!$B$10:$B$15,MATCH(K64,Assumptions!$A$10:$A$15,0))</f>
        <v>65</v>
      </c>
      <c r="M64" s="32" t="n">
        <v>3</v>
      </c>
      <c r="N64" s="32" t="n">
        <v>4</v>
      </c>
      <c r="O64" s="32" t="n">
        <v>5</v>
      </c>
      <c r="P64" s="32" t="n">
        <v>5</v>
      </c>
      <c r="Q64" s="32" t="n">
        <v>6</v>
      </c>
      <c r="R64" s="32" t="n">
        <v>6</v>
      </c>
      <c r="S64" s="32" t="n">
        <v>3</v>
      </c>
      <c r="T64" s="32" t="n">
        <v>4</v>
      </c>
      <c r="U64" s="35" t="n">
        <f aca="false">AVERAGE(O64,Q64,R64,S64)</f>
        <v>5</v>
      </c>
      <c r="V64" s="32" t="str">
        <f aca="false">IF(U64&lt;Assumptions!$B$5,"Low",IF(U64&gt;=Assumptions!$B$6,"High","Medium"))</f>
        <v>High</v>
      </c>
      <c r="W64" s="33" t="s">
        <v>220</v>
      </c>
    </row>
    <row r="65" customFormat="false" ht="15" hidden="false" customHeight="true" outlineLevel="0" collapsed="false">
      <c r="A65" s="32" t="n">
        <v>64</v>
      </c>
      <c r="B65" s="33" t="s">
        <v>80</v>
      </c>
      <c r="C65" s="33" t="s">
        <v>73</v>
      </c>
      <c r="D65" s="33" t="s">
        <v>64</v>
      </c>
      <c r="E65" s="33" t="s">
        <v>157</v>
      </c>
      <c r="F65" s="32" t="s">
        <v>211</v>
      </c>
      <c r="G65" s="33" t="n">
        <v>57.3</v>
      </c>
      <c r="H65" s="34" t="n">
        <f aca="false">IF(F65="Percentage",G65,IF(OR(F65="CGPA",F65="SGPA"),G65*Assumptions!$B$3,""))</f>
        <v>57.3</v>
      </c>
      <c r="I65" s="32" t="str">
        <f aca="false">IF(AND(ISNUMBER(H65),H65&gt;=Assumptions!$B$4),"Yes","No")</f>
        <v>Yes</v>
      </c>
      <c r="J65" s="34" t="n">
        <f aca="false">IF(I65="Yes",H65,"")</f>
        <v>57.3</v>
      </c>
      <c r="K65" s="32" t="s">
        <v>67</v>
      </c>
      <c r="L65" s="34" t="n">
        <f aca="false">INDEX(Assumptions!$B$10:$B$15,MATCH(K65,Assumptions!$A$10:$A$15,0))</f>
        <v>55</v>
      </c>
      <c r="M65" s="32" t="n">
        <v>3</v>
      </c>
      <c r="N65" s="32" t="n">
        <v>4</v>
      </c>
      <c r="O65" s="32" t="n">
        <v>3</v>
      </c>
      <c r="P65" s="32" t="n">
        <v>5</v>
      </c>
      <c r="Q65" s="32" t="n">
        <v>3</v>
      </c>
      <c r="R65" s="32" t="n">
        <v>6</v>
      </c>
      <c r="S65" s="32" t="n">
        <v>4</v>
      </c>
      <c r="T65" s="32" t="n">
        <v>6</v>
      </c>
      <c r="U65" s="35" t="n">
        <f aca="false">AVERAGE(O65,Q65,R65,S65)</f>
        <v>4</v>
      </c>
      <c r="V65" s="32" t="str">
        <f aca="false">IF(U65&lt;Assumptions!$B$5,"Low",IF(U65&gt;=Assumptions!$B$6,"High","Medium"))</f>
        <v>Medium</v>
      </c>
      <c r="W65" s="33" t="s">
        <v>220</v>
      </c>
    </row>
    <row r="66" customFormat="false" ht="15" hidden="false" customHeight="true" outlineLevel="0" collapsed="false">
      <c r="A66" s="32" t="n">
        <v>65</v>
      </c>
      <c r="B66" s="33" t="s">
        <v>95</v>
      </c>
      <c r="C66" s="33" t="s">
        <v>87</v>
      </c>
      <c r="D66" s="33" t="s">
        <v>92</v>
      </c>
      <c r="E66" s="33" t="s">
        <v>153</v>
      </c>
      <c r="F66" s="32" t="s">
        <v>211</v>
      </c>
      <c r="G66" s="33" t="n">
        <v>89.3</v>
      </c>
      <c r="H66" s="34" t="n">
        <f aca="false">IF(F66="Percentage",G66,IF(OR(F66="CGPA",F66="SGPA"),G66*Assumptions!$B$3,""))</f>
        <v>89.3</v>
      </c>
      <c r="I66" s="32" t="str">
        <f aca="false">IF(AND(ISNUMBER(H66),H66&gt;=Assumptions!$B$4),"Yes","No")</f>
        <v>Yes</v>
      </c>
      <c r="J66" s="34" t="n">
        <f aca="false">IF(I66="Yes",H66,"")</f>
        <v>89.3</v>
      </c>
      <c r="K66" s="32" t="s">
        <v>74</v>
      </c>
      <c r="L66" s="34" t="n">
        <f aca="false">INDEX(Assumptions!$B$10:$B$15,MATCH(K66,Assumptions!$A$10:$A$15,0))</f>
        <v>75</v>
      </c>
      <c r="M66" s="32" t="n">
        <v>4</v>
      </c>
      <c r="N66" s="32" t="n">
        <v>3</v>
      </c>
      <c r="O66" s="32" t="n">
        <v>5</v>
      </c>
      <c r="P66" s="32" t="n">
        <v>6</v>
      </c>
      <c r="Q66" s="32" t="n">
        <v>4</v>
      </c>
      <c r="R66" s="32" t="n">
        <v>6</v>
      </c>
      <c r="S66" s="32" t="n">
        <v>4</v>
      </c>
      <c r="T66" s="32" t="n">
        <v>6</v>
      </c>
      <c r="U66" s="35" t="n">
        <f aca="false">AVERAGE(O66,Q66,R66,S66)</f>
        <v>4.75</v>
      </c>
      <c r="V66" s="32" t="str">
        <f aca="false">IF(U66&lt;Assumptions!$B$5,"Low",IF(U66&gt;=Assumptions!$B$6,"High","Medium"))</f>
        <v>High</v>
      </c>
      <c r="W66" s="33" t="s">
        <v>220</v>
      </c>
    </row>
  </sheetData>
  <autoFilter ref="A1:W66"/>
  <conditionalFormatting sqref="I2:I66">
    <cfRule type="cellIs" priority="2" operator="equal" aboveAverage="0" equalAverage="0" bottom="0" percent="0" rank="0" text="" dxfId="5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L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46"/>
    <col collapsed="false" customWidth="true" hidden="false" outlineLevel="0" max="6" min="2" style="19" width="17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16"/>
  </cols>
  <sheetData>
    <row r="1" customFormat="false" ht="17.25" hidden="false" customHeight="true" outlineLevel="0" collapsed="false">
      <c r="A1" s="27" t="s">
        <v>237</v>
      </c>
    </row>
    <row r="3" customFormat="false" ht="15" hidden="false" customHeight="true" outlineLevel="0" collapsed="false">
      <c r="A3" s="36" t="s">
        <v>238</v>
      </c>
      <c r="H3" s="37" t="s">
        <v>239</v>
      </c>
    </row>
    <row r="4" customFormat="false" ht="39.75" hidden="false" customHeight="true" outlineLevel="0" collapsed="false">
      <c r="A4" s="38" t="s">
        <v>240</v>
      </c>
      <c r="B4" s="38" t="s">
        <v>241</v>
      </c>
      <c r="H4" s="20" t="s">
        <v>242</v>
      </c>
      <c r="I4" s="20" t="s">
        <v>205</v>
      </c>
      <c r="J4" s="20" t="s">
        <v>194</v>
      </c>
      <c r="L4" s="20" t="s">
        <v>243</v>
      </c>
    </row>
    <row r="5" customFormat="false" ht="15" hidden="false" customHeight="true" outlineLevel="0" collapsed="false">
      <c r="A5" s="33" t="s">
        <v>244</v>
      </c>
      <c r="B5" s="39" t="n">
        <f aca="false">COUNTA('Cleaned Data'!$B$2:$B$66)</f>
        <v>65</v>
      </c>
      <c r="H5" s="40" t="n">
        <f aca="false">MATCH(ROWS($H$5:H5),$L$5:$L$69,0)</f>
        <v>1</v>
      </c>
      <c r="I5" s="41" t="n">
        <f aca="false">INDEX('Cleaned Data'!$U$2:$U$66,H5)</f>
        <v>3.5</v>
      </c>
      <c r="J5" s="42" t="n">
        <f aca="false">INDEX('Cleaned Data'!$J$2:$J$66,H5)</f>
        <v>85.12</v>
      </c>
      <c r="L5" s="40" t="n">
        <f aca="false">IF('Cleaned Data'!$I$2="Yes",COUNTIF('Cleaned Data'!$I$2:$I$2,"Yes"),"")</f>
        <v>1</v>
      </c>
    </row>
    <row r="6" customFormat="false" ht="15" hidden="false" customHeight="true" outlineLevel="0" collapsed="false">
      <c r="A6" s="33" t="s">
        <v>245</v>
      </c>
      <c r="B6" s="39" t="n">
        <f aca="false">COUNTIF('Cleaned Data'!$I$2:$I$66,"Yes")</f>
        <v>62</v>
      </c>
      <c r="H6" s="40" t="n">
        <f aca="false">MATCH(ROWS($H$5:H6),$L$5:$L$69,0)</f>
        <v>2</v>
      </c>
      <c r="I6" s="41" t="n">
        <f aca="false">INDEX('Cleaned Data'!$U$2:$U$66,H6)</f>
        <v>2.25</v>
      </c>
      <c r="J6" s="42" t="n">
        <f aca="false">INDEX('Cleaned Data'!$J$2:$J$66,H6)</f>
        <v>78</v>
      </c>
      <c r="L6" s="40" t="n">
        <f aca="false">IF('Cleaned Data'!$I$3="Yes",COUNTIF('Cleaned Data'!$I$2:$I$3,"Yes"),"")</f>
        <v>2</v>
      </c>
    </row>
    <row r="7" customFormat="false" ht="15" hidden="false" customHeight="true" outlineLevel="0" collapsed="false">
      <c r="A7" s="33" t="s">
        <v>246</v>
      </c>
      <c r="B7" s="39" t="n">
        <f aca="false">SUMPRODUCT(1/COUNTIF('Cleaned Data'!$E$2:$E$66,'Cleaned Data'!$E$2:$E$66))</f>
        <v>37</v>
      </c>
      <c r="H7" s="40" t="n">
        <f aca="false">MATCH(ROWS($H$5:H7),$L$5:$L$69,0)</f>
        <v>3</v>
      </c>
      <c r="I7" s="41" t="n">
        <f aca="false">INDEX('Cleaned Data'!$U$2:$U$66,H7)</f>
        <v>1.75</v>
      </c>
      <c r="J7" s="42" t="n">
        <f aca="false">INDEX('Cleaned Data'!$J$2:$J$66,H7)</f>
        <v>70</v>
      </c>
      <c r="L7" s="40" t="n">
        <f aca="false">IF('Cleaned Data'!$I$4="Yes",COUNTIF('Cleaned Data'!$I$2:$I$4,"Yes"),"")</f>
        <v>3</v>
      </c>
    </row>
    <row r="8" customFormat="false" ht="15" hidden="false" customHeight="true" outlineLevel="0" collapsed="false">
      <c r="A8" s="33" t="s">
        <v>247</v>
      </c>
      <c r="B8" s="34" t="n">
        <f aca="false">AVERAGE('Cleaned Data'!$J$2:$J$66)</f>
        <v>71.0315322580645</v>
      </c>
      <c r="H8" s="40" t="n">
        <f aca="false">MATCH(ROWS($H$5:H8),$L$5:$L$69,0)</f>
        <v>4</v>
      </c>
      <c r="I8" s="41" t="n">
        <f aca="false">INDEX('Cleaned Data'!$U$2:$U$66,H8)</f>
        <v>5.25</v>
      </c>
      <c r="J8" s="42" t="n">
        <f aca="false">INDEX('Cleaned Data'!$J$2:$J$66,H8)</f>
        <v>87</v>
      </c>
      <c r="L8" s="40" t="n">
        <f aca="false">IF('Cleaned Data'!$I$5="Yes",COUNTIF('Cleaned Data'!$I$2:$I$5,"Yes"),"")</f>
        <v>4</v>
      </c>
    </row>
    <row r="9" customFormat="false" ht="15" hidden="false" customHeight="true" outlineLevel="0" collapsed="false">
      <c r="A9" s="33" t="s">
        <v>248</v>
      </c>
      <c r="B9" s="34" t="n">
        <f aca="false">MEDIAN('Cleaned Data'!$J$2:$J$66)</f>
        <v>70</v>
      </c>
      <c r="H9" s="40" t="n">
        <f aca="false">MATCH(ROWS($H$5:H9),$L$5:$L$69,0)</f>
        <v>7</v>
      </c>
      <c r="I9" s="41" t="n">
        <f aca="false">INDEX('Cleaned Data'!$U$2:$U$66,H9)</f>
        <v>3.5</v>
      </c>
      <c r="J9" s="42" t="n">
        <f aca="false">INDEX('Cleaned Data'!$J$2:$J$66,H9)</f>
        <v>43</v>
      </c>
      <c r="L9" s="40" t="str">
        <f aca="false">IF('Cleaned Data'!$I$6="Yes",COUNTIF('Cleaned Data'!$I$2:$I$6,"Yes"),"")</f>
        <v/>
      </c>
    </row>
    <row r="10" customFormat="false" ht="15" hidden="false" customHeight="true" outlineLevel="0" collapsed="false">
      <c r="A10" s="33" t="s">
        <v>249</v>
      </c>
      <c r="B10" s="34" t="n">
        <f aca="false">STDEV('Cleaned Data'!$J$2:$J$66)</f>
        <v>11.7758591830466</v>
      </c>
      <c r="H10" s="40" t="n">
        <f aca="false">MATCH(ROWS($H$5:H10),$L$5:$L$69,0)</f>
        <v>8</v>
      </c>
      <c r="I10" s="41" t="n">
        <f aca="false">INDEX('Cleaned Data'!$U$2:$U$66,H10)</f>
        <v>3</v>
      </c>
      <c r="J10" s="42" t="n">
        <f aca="false">INDEX('Cleaned Data'!$J$2:$J$66,H10)</f>
        <v>61.75</v>
      </c>
      <c r="L10" s="40" t="str">
        <f aca="false">IF('Cleaned Data'!$I$7="Yes",COUNTIF('Cleaned Data'!$I$2:$I$7,"Yes"),"")</f>
        <v/>
      </c>
    </row>
    <row r="11" customFormat="false" ht="15" hidden="false" customHeight="true" outlineLevel="0" collapsed="false">
      <c r="A11" s="33" t="s">
        <v>250</v>
      </c>
      <c r="B11" s="34" t="n">
        <f aca="false">MIN('Cleaned Data'!$J$2:$J$66)</f>
        <v>43</v>
      </c>
      <c r="H11" s="40" t="n">
        <f aca="false">MATCH(ROWS($H$5:H11),$L$5:$L$69,0)</f>
        <v>9</v>
      </c>
      <c r="I11" s="41" t="n">
        <f aca="false">INDEX('Cleaned Data'!$U$2:$U$66,H11)</f>
        <v>3.5</v>
      </c>
      <c r="J11" s="42" t="n">
        <f aca="false">INDEX('Cleaned Data'!$J$2:$J$66,H11)</f>
        <v>60</v>
      </c>
      <c r="L11" s="40" t="n">
        <f aca="false">IF('Cleaned Data'!$I$8="Yes",COUNTIF('Cleaned Data'!$I$2:$I$8,"Yes"),"")</f>
        <v>5</v>
      </c>
    </row>
    <row r="12" customFormat="false" ht="15" hidden="false" customHeight="true" outlineLevel="0" collapsed="false">
      <c r="A12" s="33" t="s">
        <v>251</v>
      </c>
      <c r="B12" s="34" t="n">
        <f aca="false">MAX('Cleaned Data'!$J$2:$J$66)</f>
        <v>93</v>
      </c>
      <c r="H12" s="40" t="n">
        <f aca="false">MATCH(ROWS($H$5:H12),$L$5:$L$69,0)</f>
        <v>10</v>
      </c>
      <c r="I12" s="41" t="n">
        <f aca="false">INDEX('Cleaned Data'!$U$2:$U$66,H12)</f>
        <v>4.5</v>
      </c>
      <c r="J12" s="42" t="n">
        <f aca="false">INDEX('Cleaned Data'!$J$2:$J$66,H12)</f>
        <v>64</v>
      </c>
      <c r="L12" s="40" t="n">
        <f aca="false">IF('Cleaned Data'!$I$9="Yes",COUNTIF('Cleaned Data'!$I$2:$I$9,"Yes"),"")</f>
        <v>6</v>
      </c>
    </row>
    <row r="13" customFormat="false" ht="15" hidden="false" customHeight="true" outlineLevel="0" collapsed="false">
      <c r="A13" s="33" t="s">
        <v>252</v>
      </c>
      <c r="B13" s="34" t="n">
        <f aca="false">QUARTILE('Cleaned Data'!$J$2:$J$66,1)</f>
        <v>64</v>
      </c>
      <c r="H13" s="40" t="n">
        <f aca="false">MATCH(ROWS($H$5:H13),$L$5:$L$69,0)</f>
        <v>11</v>
      </c>
      <c r="I13" s="41" t="n">
        <f aca="false">INDEX('Cleaned Data'!$U$2:$U$66,H13)</f>
        <v>5</v>
      </c>
      <c r="J13" s="42" t="n">
        <f aca="false">INDEX('Cleaned Data'!$J$2:$J$66,H13)</f>
        <v>64.6</v>
      </c>
      <c r="L13" s="40" t="n">
        <f aca="false">IF('Cleaned Data'!$I$10="Yes",COUNTIF('Cleaned Data'!$I$2:$I$10,"Yes"),"")</f>
        <v>7</v>
      </c>
    </row>
    <row r="14" customFormat="false" ht="15" hidden="false" customHeight="true" outlineLevel="0" collapsed="false">
      <c r="A14" s="33" t="s">
        <v>253</v>
      </c>
      <c r="B14" s="34" t="n">
        <f aca="false">QUARTILE('Cleaned Data'!$J$2:$J$66,3)</f>
        <v>78</v>
      </c>
      <c r="H14" s="40" t="n">
        <f aca="false">MATCH(ROWS($H$5:H14),$L$5:$L$69,0)</f>
        <v>12</v>
      </c>
      <c r="I14" s="41" t="n">
        <f aca="false">INDEX('Cleaned Data'!$U$2:$U$66,H14)</f>
        <v>3.25</v>
      </c>
      <c r="J14" s="42" t="n">
        <f aca="false">INDEX('Cleaned Data'!$J$2:$J$66,H14)</f>
        <v>68</v>
      </c>
      <c r="L14" s="40" t="n">
        <f aca="false">IF('Cleaned Data'!$I$11="Yes",COUNTIF('Cleaned Data'!$I$2:$I$11,"Yes"),"")</f>
        <v>8</v>
      </c>
    </row>
    <row r="15" customFormat="false" ht="15" hidden="false" customHeight="true" outlineLevel="0" collapsed="false">
      <c r="A15" s="33" t="s">
        <v>254</v>
      </c>
      <c r="B15" s="43" t="n">
        <f aca="false">COUNTIF('Cleaned Data'!$J$2:$J$66,"&gt;=75")/COUNT('Cleaned Data'!$J$2:$J$66)</f>
        <v>0.370967741935484</v>
      </c>
      <c r="H15" s="40" t="n">
        <f aca="false">MATCH(ROWS($H$5:H15),$L$5:$L$69,0)</f>
        <v>13</v>
      </c>
      <c r="I15" s="41" t="n">
        <f aca="false">INDEX('Cleaned Data'!$U$2:$U$66,H15)</f>
        <v>6</v>
      </c>
      <c r="J15" s="42" t="n">
        <f aca="false">INDEX('Cleaned Data'!$J$2:$J$66,H15)</f>
        <v>50</v>
      </c>
      <c r="L15" s="40" t="n">
        <f aca="false">IF('Cleaned Data'!$I$12="Yes",COUNTIF('Cleaned Data'!$I$2:$I$12,"Yes"),"")</f>
        <v>9</v>
      </c>
    </row>
    <row r="16" customFormat="false" ht="15" hidden="false" customHeight="true" outlineLevel="0" collapsed="false">
      <c r="A16" s="33" t="s">
        <v>255</v>
      </c>
      <c r="B16" s="35" t="n">
        <f aca="false">AVERAGE('Cleaned Data'!$U$2:$U$66)</f>
        <v>3.91538461538462</v>
      </c>
      <c r="H16" s="40" t="n">
        <f aca="false">MATCH(ROWS($H$5:H16),$L$5:$L$69,0)</f>
        <v>14</v>
      </c>
      <c r="I16" s="41" t="n">
        <f aca="false">INDEX('Cleaned Data'!$U$2:$U$66,H16)</f>
        <v>6</v>
      </c>
      <c r="J16" s="42" t="n">
        <f aca="false">INDEX('Cleaned Data'!$J$2:$J$66,H16)</f>
        <v>70</v>
      </c>
      <c r="L16" s="40" t="n">
        <f aca="false">IF('Cleaned Data'!$I$13="Yes",COUNTIF('Cleaned Data'!$I$2:$I$13,"Yes"),"")</f>
        <v>10</v>
      </c>
    </row>
    <row r="17" customFormat="false" ht="15" hidden="false" customHeight="false" outlineLevel="0" collapsed="false">
      <c r="H17" s="40" t="n">
        <f aca="false">MATCH(ROWS($H$5:H17),$L$5:$L$69,0)</f>
        <v>15</v>
      </c>
      <c r="I17" s="41" t="n">
        <f aca="false">INDEX('Cleaned Data'!$U$2:$U$66,H17)</f>
        <v>4.25</v>
      </c>
      <c r="J17" s="42" t="n">
        <f aca="false">INDEX('Cleaned Data'!$J$2:$J$66,H17)</f>
        <v>67</v>
      </c>
      <c r="L17" s="40" t="n">
        <f aca="false">IF('Cleaned Data'!$I$14="Yes",COUNTIF('Cleaned Data'!$I$2:$I$14,"Yes"),"")</f>
        <v>11</v>
      </c>
    </row>
    <row r="18" customFormat="false" ht="15" hidden="false" customHeight="true" outlineLevel="0" collapsed="false">
      <c r="A18" s="36" t="s">
        <v>256</v>
      </c>
      <c r="H18" s="40" t="n">
        <f aca="false">MATCH(ROWS($H$5:H18),$L$5:$L$69,0)</f>
        <v>16</v>
      </c>
      <c r="I18" s="41" t="n">
        <f aca="false">INDEX('Cleaned Data'!$U$2:$U$66,H18)</f>
        <v>4</v>
      </c>
      <c r="J18" s="42" t="n">
        <f aca="false">INDEX('Cleaned Data'!$J$2:$J$66,H18)</f>
        <v>92.15</v>
      </c>
      <c r="L18" s="40" t="n">
        <f aca="false">IF('Cleaned Data'!$I$15="Yes",COUNTIF('Cleaned Data'!$I$2:$I$15,"Yes"),"")</f>
        <v>12</v>
      </c>
    </row>
    <row r="19" customFormat="false" ht="31.5" hidden="false" customHeight="true" outlineLevel="0" collapsed="false">
      <c r="A19" s="38" t="s">
        <v>257</v>
      </c>
      <c r="B19" s="38" t="s">
        <v>258</v>
      </c>
      <c r="C19" s="38" t="s">
        <v>259</v>
      </c>
      <c r="D19" s="38" t="s">
        <v>260</v>
      </c>
      <c r="E19" s="38" t="s">
        <v>261</v>
      </c>
      <c r="F19" s="38" t="s">
        <v>262</v>
      </c>
      <c r="H19" s="40" t="n">
        <f aca="false">MATCH(ROWS($H$5:H19),$L$5:$L$69,0)</f>
        <v>17</v>
      </c>
      <c r="I19" s="41" t="n">
        <f aca="false">INDEX('Cleaned Data'!$U$2:$U$66,H19)</f>
        <v>5</v>
      </c>
      <c r="J19" s="42" t="n">
        <f aca="false">INDEX('Cleaned Data'!$J$2:$J$66,H19)</f>
        <v>76.095</v>
      </c>
      <c r="L19" s="40" t="n">
        <f aca="false">IF('Cleaned Data'!$I$16="Yes",COUNTIF('Cleaned Data'!$I$2:$I$16,"Yes"),"")</f>
        <v>13</v>
      </c>
    </row>
    <row r="20" customFormat="false" ht="15" hidden="false" customHeight="true" outlineLevel="0" collapsed="false">
      <c r="A20" s="33" t="s">
        <v>263</v>
      </c>
      <c r="B20" s="35" t="n">
        <f aca="false">AVERAGE('Cleaned Data'!$P$2:$P$66)</f>
        <v>4.24615384615385</v>
      </c>
      <c r="C20" s="34" t="n">
        <f aca="false">MEDIAN('Cleaned Data'!$P$2:$P$66)</f>
        <v>4</v>
      </c>
      <c r="D20" s="35" t="n">
        <f aca="false">STDEV('Cleaned Data'!$P$2:$P$66)</f>
        <v>1.21231659992823</v>
      </c>
      <c r="E20" s="43" t="n">
        <f aca="false">COUNTIF('Cleaned Data'!$P$2:$P$66,"&gt;=5")/COUNT('Cleaned Data'!$P$2:$P$66)</f>
        <v>0.4</v>
      </c>
      <c r="F20" s="43" t="n">
        <f aca="false">COUNTIF('Cleaned Data'!$P$2:$P$66,"&lt;=2")/COUNT('Cleaned Data'!$P$2:$P$66)</f>
        <v>0.0461538461538462</v>
      </c>
      <c r="H20" s="40" t="n">
        <f aca="false">MATCH(ROWS($H$5:H20),$L$5:$L$69,0)</f>
        <v>19</v>
      </c>
      <c r="I20" s="41" t="n">
        <f aca="false">INDEX('Cleaned Data'!$U$2:$U$66,H20)</f>
        <v>4.25</v>
      </c>
      <c r="J20" s="42" t="n">
        <f aca="false">INDEX('Cleaned Data'!$J$2:$J$66,H20)</f>
        <v>64</v>
      </c>
      <c r="L20" s="40" t="n">
        <f aca="false">IF('Cleaned Data'!$I$17="Yes",COUNTIF('Cleaned Data'!$I$2:$I$17,"Yes"),"")</f>
        <v>14</v>
      </c>
    </row>
    <row r="21" customFormat="false" ht="15" hidden="false" customHeight="true" outlineLevel="0" collapsed="false">
      <c r="A21" s="33" t="s">
        <v>264</v>
      </c>
      <c r="B21" s="35" t="n">
        <f aca="false">AVERAGE('Cleaned Data'!$S$2:$S$66)</f>
        <v>4.15384615384615</v>
      </c>
      <c r="C21" s="34" t="n">
        <f aca="false">MEDIAN('Cleaned Data'!$S$2:$S$66)</f>
        <v>4</v>
      </c>
      <c r="D21" s="35" t="n">
        <f aca="false">STDEV('Cleaned Data'!$S$2:$S$66)</f>
        <v>1.31375855409643</v>
      </c>
      <c r="E21" s="43" t="n">
        <f aca="false">COUNTIF('Cleaned Data'!$S$2:$S$66,"&gt;=5")/COUNT('Cleaned Data'!$S$2:$S$66)</f>
        <v>0.4</v>
      </c>
      <c r="F21" s="43" t="n">
        <f aca="false">COUNTIF('Cleaned Data'!$S$2:$S$66,"&lt;=2")/COUNT('Cleaned Data'!$S$2:$S$66)</f>
        <v>0.107692307692308</v>
      </c>
      <c r="H21" s="40" t="n">
        <f aca="false">MATCH(ROWS($H$5:H21),$L$5:$L$69,0)</f>
        <v>20</v>
      </c>
      <c r="I21" s="41" t="n">
        <f aca="false">INDEX('Cleaned Data'!$U$2:$U$66,H21)</f>
        <v>3</v>
      </c>
      <c r="J21" s="42" t="n">
        <f aca="false">INDEX('Cleaned Data'!$J$2:$J$66,H21)</f>
        <v>63.65</v>
      </c>
      <c r="L21" s="40" t="n">
        <f aca="false">IF('Cleaned Data'!$I$18="Yes",COUNTIF('Cleaned Data'!$I$2:$I$18,"Yes"),"")</f>
        <v>15</v>
      </c>
    </row>
    <row r="22" customFormat="false" ht="15" hidden="false" customHeight="true" outlineLevel="0" collapsed="false">
      <c r="A22" s="33" t="s">
        <v>265</v>
      </c>
      <c r="B22" s="35" t="n">
        <f aca="false">AVERAGE('Cleaned Data'!$R$2:$R$66)</f>
        <v>4.06153846153846</v>
      </c>
      <c r="C22" s="34" t="n">
        <f aca="false">MEDIAN('Cleaned Data'!$R$2:$R$66)</f>
        <v>4</v>
      </c>
      <c r="D22" s="35" t="n">
        <f aca="false">STDEV('Cleaned Data'!$R$2:$R$66)</f>
        <v>1.35643055338408</v>
      </c>
      <c r="E22" s="43" t="n">
        <f aca="false">COUNTIF('Cleaned Data'!$R$2:$R$66,"&gt;=5")/COUNT('Cleaned Data'!$R$2:$R$66)</f>
        <v>0.369230769230769</v>
      </c>
      <c r="F22" s="43" t="n">
        <f aca="false">COUNTIF('Cleaned Data'!$R$2:$R$66,"&lt;=2")/COUNT('Cleaned Data'!$R$2:$R$66)</f>
        <v>0.107692307692308</v>
      </c>
      <c r="H22" s="40" t="n">
        <f aca="false">MATCH(ROWS($H$5:H22),$L$5:$L$69,0)</f>
        <v>21</v>
      </c>
      <c r="I22" s="41" t="n">
        <f aca="false">INDEX('Cleaned Data'!$U$2:$U$66,H22)</f>
        <v>3</v>
      </c>
      <c r="J22" s="42" t="n">
        <f aca="false">INDEX('Cleaned Data'!$J$2:$J$66,H22)</f>
        <v>80</v>
      </c>
      <c r="L22" s="40" t="str">
        <f aca="false">IF('Cleaned Data'!$I$19="Yes",COUNTIF('Cleaned Data'!$I$2:$I$19,"Yes"),"")</f>
        <v/>
      </c>
    </row>
    <row r="23" customFormat="false" ht="15" hidden="false" customHeight="true" outlineLevel="0" collapsed="false">
      <c r="A23" s="33" t="s">
        <v>266</v>
      </c>
      <c r="B23" s="35" t="n">
        <f aca="false">AVERAGE('Cleaned Data'!$T$2:$T$66)</f>
        <v>3.96923076923077</v>
      </c>
      <c r="C23" s="34" t="n">
        <f aca="false">MEDIAN('Cleaned Data'!$T$2:$T$66)</f>
        <v>4</v>
      </c>
      <c r="D23" s="35" t="n">
        <f aca="false">STDEV('Cleaned Data'!$T$2:$T$66)</f>
        <v>1.53061701987743</v>
      </c>
      <c r="E23" s="43" t="n">
        <f aca="false">COUNTIF('Cleaned Data'!$T$2:$T$66,"&gt;=5")/COUNT('Cleaned Data'!$T$2:$T$66)</f>
        <v>0.353846153846154</v>
      </c>
      <c r="F23" s="43" t="n">
        <f aca="false">COUNTIF('Cleaned Data'!$T$2:$T$66,"&lt;=2")/COUNT('Cleaned Data'!$T$2:$T$66)</f>
        <v>0.2</v>
      </c>
      <c r="H23" s="40" t="n">
        <f aca="false">MATCH(ROWS($H$5:H23),$L$5:$L$69,0)</f>
        <v>22</v>
      </c>
      <c r="I23" s="41" t="n">
        <f aca="false">INDEX('Cleaned Data'!$U$2:$U$66,H23)</f>
        <v>2.75</v>
      </c>
      <c r="J23" s="42" t="n">
        <f aca="false">INDEX('Cleaned Data'!$J$2:$J$66,H23)</f>
        <v>67</v>
      </c>
      <c r="L23" s="40" t="n">
        <f aca="false">IF('Cleaned Data'!$I$20="Yes",COUNTIF('Cleaned Data'!$I$2:$I$20,"Yes"),"")</f>
        <v>16</v>
      </c>
    </row>
    <row r="24" customFormat="false" ht="15" hidden="false" customHeight="true" outlineLevel="0" collapsed="false">
      <c r="A24" s="33" t="s">
        <v>267</v>
      </c>
      <c r="B24" s="35" t="n">
        <f aca="false">AVERAGE('Cleaned Data'!$N$2:$N$66)</f>
        <v>3.96875</v>
      </c>
      <c r="C24" s="34" t="n">
        <f aca="false">MEDIAN('Cleaned Data'!$N$2:$N$66)</f>
        <v>4</v>
      </c>
      <c r="D24" s="35" t="n">
        <f aca="false">STDEV('Cleaned Data'!$N$2:$N$66)</f>
        <v>1.1542708823501</v>
      </c>
      <c r="E24" s="43" t="n">
        <f aca="false">COUNTIF('Cleaned Data'!$N$2:$N$66,"&gt;=5")/COUNT('Cleaned Data'!$N$2:$N$66)</f>
        <v>0.265625</v>
      </c>
      <c r="F24" s="43" t="n">
        <f aca="false">COUNTIF('Cleaned Data'!$N$2:$N$66,"&lt;=2")/COUNT('Cleaned Data'!$N$2:$N$66)</f>
        <v>0.09375</v>
      </c>
      <c r="H24" s="40" t="n">
        <f aca="false">MATCH(ROWS($H$5:H24),$L$5:$L$69,0)</f>
        <v>23</v>
      </c>
      <c r="I24" s="41" t="n">
        <f aca="false">INDEX('Cleaned Data'!$U$2:$U$66,H24)</f>
        <v>1.5</v>
      </c>
      <c r="J24" s="42" t="n">
        <f aca="false">INDEX('Cleaned Data'!$J$2:$J$66,H24)</f>
        <v>59.85</v>
      </c>
      <c r="L24" s="40" t="n">
        <f aca="false">IF('Cleaned Data'!$I$21="Yes",COUNTIF('Cleaned Data'!$I$2:$I$21,"Yes"),"")</f>
        <v>17</v>
      </c>
    </row>
    <row r="25" customFormat="false" ht="15" hidden="false" customHeight="true" outlineLevel="0" collapsed="false">
      <c r="A25" s="33" t="s">
        <v>268</v>
      </c>
      <c r="B25" s="35" t="n">
        <f aca="false">AVERAGE('Cleaned Data'!$Q$2:$Q$66)</f>
        <v>3.86153846153846</v>
      </c>
      <c r="C25" s="34" t="n">
        <f aca="false">MEDIAN('Cleaned Data'!$Q$2:$Q$66)</f>
        <v>4</v>
      </c>
      <c r="D25" s="35" t="n">
        <f aca="false">STDEV('Cleaned Data'!$Q$2:$Q$66)</f>
        <v>1.27324539903109</v>
      </c>
      <c r="E25" s="43" t="n">
        <f aca="false">COUNTIF('Cleaned Data'!$Q$2:$Q$66,"&gt;=5")/COUNT('Cleaned Data'!$Q$2:$Q$66)</f>
        <v>0.323076923076923</v>
      </c>
      <c r="F25" s="43" t="n">
        <f aca="false">COUNTIF('Cleaned Data'!$Q$2:$Q$66,"&lt;=2")/COUNT('Cleaned Data'!$Q$2:$Q$66)</f>
        <v>0.107692307692308</v>
      </c>
      <c r="H25" s="40" t="n">
        <f aca="false">MATCH(ROWS($H$5:H25),$L$5:$L$69,0)</f>
        <v>24</v>
      </c>
      <c r="I25" s="41" t="n">
        <f aca="false">INDEX('Cleaned Data'!$U$2:$U$66,H25)</f>
        <v>2</v>
      </c>
      <c r="J25" s="42" t="n">
        <f aca="false">INDEX('Cleaned Data'!$J$2:$J$66,H25)</f>
        <v>65</v>
      </c>
      <c r="L25" s="40" t="n">
        <f aca="false">IF('Cleaned Data'!$I$22="Yes",COUNTIF('Cleaned Data'!$I$2:$I$22,"Yes"),"")</f>
        <v>18</v>
      </c>
    </row>
    <row r="26" customFormat="false" ht="15" hidden="false" customHeight="true" outlineLevel="0" collapsed="false">
      <c r="A26" s="33" t="s">
        <v>269</v>
      </c>
      <c r="B26" s="35" t="n">
        <f aca="false">AVERAGE('Cleaned Data'!$M$2:$M$66)</f>
        <v>3.66153846153846</v>
      </c>
      <c r="C26" s="34" t="n">
        <f aca="false">MEDIAN('Cleaned Data'!$M$2:$M$66)</f>
        <v>4</v>
      </c>
      <c r="D26" s="35" t="n">
        <f aca="false">STDEV('Cleaned Data'!$M$2:$M$66)</f>
        <v>1.18949730817427</v>
      </c>
      <c r="E26" s="43" t="n">
        <f aca="false">COUNTIF('Cleaned Data'!$M$2:$M$66,"&gt;=5")/COUNT('Cleaned Data'!$M$2:$M$66)</f>
        <v>0.215384615384615</v>
      </c>
      <c r="F26" s="43" t="n">
        <f aca="false">COUNTIF('Cleaned Data'!$M$2:$M$66,"&lt;=2")/COUNT('Cleaned Data'!$M$2:$M$66)</f>
        <v>0.123076923076923</v>
      </c>
      <c r="H26" s="40" t="n">
        <f aca="false">MATCH(ROWS($H$5:H26),$L$5:$L$69,0)</f>
        <v>25</v>
      </c>
      <c r="I26" s="41" t="n">
        <f aca="false">INDEX('Cleaned Data'!$U$2:$U$66,H26)</f>
        <v>4</v>
      </c>
      <c r="J26" s="42" t="n">
        <f aca="false">INDEX('Cleaned Data'!$J$2:$J$66,H26)</f>
        <v>70</v>
      </c>
      <c r="L26" s="40" t="n">
        <f aca="false">IF('Cleaned Data'!$I$23="Yes",COUNTIF('Cleaned Data'!$I$2:$I$23,"Yes"),"")</f>
        <v>19</v>
      </c>
    </row>
    <row r="27" customFormat="false" ht="15" hidden="false" customHeight="true" outlineLevel="0" collapsed="false">
      <c r="A27" s="33" t="s">
        <v>270</v>
      </c>
      <c r="B27" s="35" t="n">
        <f aca="false">AVERAGE('Cleaned Data'!$O$2:$O$66)</f>
        <v>3.58461538461538</v>
      </c>
      <c r="C27" s="34" t="n">
        <f aca="false">MEDIAN('Cleaned Data'!$O$2:$O$66)</f>
        <v>3</v>
      </c>
      <c r="D27" s="35" t="n">
        <f aca="false">STDEV('Cleaned Data'!$O$2:$O$66)</f>
        <v>1.30972692397485</v>
      </c>
      <c r="E27" s="43" t="n">
        <f aca="false">COUNTIF('Cleaned Data'!$O$2:$O$66,"&gt;=5")/COUNT('Cleaned Data'!$O$2:$O$66)</f>
        <v>0.276923076923077</v>
      </c>
      <c r="F27" s="43" t="n">
        <f aca="false">COUNTIF('Cleaned Data'!$O$2:$O$66,"&lt;=2")/COUNT('Cleaned Data'!$O$2:$O$66)</f>
        <v>0.2</v>
      </c>
      <c r="H27" s="40" t="n">
        <f aca="false">MATCH(ROWS($H$5:H27),$L$5:$L$69,0)</f>
        <v>26</v>
      </c>
      <c r="I27" s="41" t="n">
        <f aca="false">INDEX('Cleaned Data'!$U$2:$U$66,H27)</f>
        <v>4.25</v>
      </c>
      <c r="J27" s="42" t="n">
        <f aca="false">INDEX('Cleaned Data'!$J$2:$J$66,H27)</f>
        <v>63</v>
      </c>
      <c r="L27" s="40" t="n">
        <f aca="false">IF('Cleaned Data'!$I$24="Yes",COUNTIF('Cleaned Data'!$I$2:$I$24,"Yes"),"")</f>
        <v>20</v>
      </c>
    </row>
    <row r="28" customFormat="false" ht="15" hidden="false" customHeight="false" outlineLevel="0" collapsed="false">
      <c r="H28" s="40" t="n">
        <f aca="false">MATCH(ROWS($H$5:H28),$L$5:$L$69,0)</f>
        <v>27</v>
      </c>
      <c r="I28" s="41" t="n">
        <f aca="false">INDEX('Cleaned Data'!$U$2:$U$66,H28)</f>
        <v>6</v>
      </c>
      <c r="J28" s="42" t="n">
        <f aca="false">INDEX('Cleaned Data'!$J$2:$J$66,H28)</f>
        <v>70</v>
      </c>
      <c r="L28" s="40" t="n">
        <f aca="false">IF('Cleaned Data'!$I$25="Yes",COUNTIF('Cleaned Data'!$I$2:$I$25,"Yes"),"")</f>
        <v>21</v>
      </c>
    </row>
    <row r="29" customFormat="false" ht="15" hidden="false" customHeight="false" outlineLevel="0" collapsed="false">
      <c r="H29" s="40" t="n">
        <f aca="false">MATCH(ROWS($H$5:H29),$L$5:$L$69,0)</f>
        <v>28</v>
      </c>
      <c r="I29" s="41" t="n">
        <f aca="false">INDEX('Cleaned Data'!$U$2:$U$66,H29)</f>
        <v>5.5</v>
      </c>
      <c r="J29" s="42" t="n">
        <f aca="false">INDEX('Cleaned Data'!$J$2:$J$66,H29)</f>
        <v>70</v>
      </c>
      <c r="L29" s="40" t="n">
        <f aca="false">IF('Cleaned Data'!$I$26="Yes",COUNTIF('Cleaned Data'!$I$2:$I$26,"Yes"),"")</f>
        <v>22</v>
      </c>
    </row>
    <row r="30" customFormat="false" ht="15" hidden="false" customHeight="true" outlineLevel="0" collapsed="false">
      <c r="A30" s="36" t="s">
        <v>271</v>
      </c>
      <c r="H30" s="40" t="n">
        <f aca="false">MATCH(ROWS($H$5:H30),$L$5:$L$69,0)</f>
        <v>29</v>
      </c>
      <c r="I30" s="41" t="n">
        <f aca="false">INDEX('Cleaned Data'!$U$2:$U$66,H30)</f>
        <v>3.25</v>
      </c>
      <c r="J30" s="42" t="n">
        <f aca="false">INDEX('Cleaned Data'!$J$2:$J$66,H30)</f>
        <v>76.855</v>
      </c>
      <c r="L30" s="40" t="n">
        <f aca="false">IF('Cleaned Data'!$I$27="Yes",COUNTIF('Cleaned Data'!$I$2:$I$27,"Yes"),"")</f>
        <v>23</v>
      </c>
    </row>
    <row r="31" customFormat="false" ht="31.5" hidden="false" customHeight="true" outlineLevel="0" collapsed="false">
      <c r="A31" s="38" t="s">
        <v>272</v>
      </c>
      <c r="B31" s="38" t="s">
        <v>273</v>
      </c>
      <c r="C31" s="38" t="s">
        <v>274</v>
      </c>
      <c r="D31" s="38" t="s">
        <v>275</v>
      </c>
      <c r="E31" s="38" t="s">
        <v>276</v>
      </c>
      <c r="F31" s="38" t="s">
        <v>277</v>
      </c>
      <c r="H31" s="40" t="n">
        <f aca="false">MATCH(ROWS($H$5:H31),$L$5:$L$69,0)</f>
        <v>30</v>
      </c>
      <c r="I31" s="41" t="n">
        <f aca="false">INDEX('Cleaned Data'!$U$2:$U$66,H31)</f>
        <v>1.75</v>
      </c>
      <c r="J31" s="42" t="n">
        <f aca="false">INDEX('Cleaned Data'!$J$2:$J$66,H31)</f>
        <v>80</v>
      </c>
      <c r="L31" s="40" t="n">
        <f aca="false">IF('Cleaned Data'!$I$28="Yes",COUNTIF('Cleaned Data'!$I$2:$I$28,"Yes"),"")</f>
        <v>24</v>
      </c>
    </row>
    <row r="32" customFormat="false" ht="15" hidden="false" customHeight="true" outlineLevel="0" collapsed="false">
      <c r="A32" s="33" t="s">
        <v>62</v>
      </c>
      <c r="B32" s="39" t="n">
        <f aca="false">COUNTIF('Cleaned Data'!$B$2:$B$66,A32)</f>
        <v>34</v>
      </c>
      <c r="C32" s="39" t="n">
        <f aca="false">COUNTIFS('Cleaned Data'!$B$2:$B$66,A32,'Cleaned Data'!$I$2:$I$66,"Yes")</f>
        <v>33</v>
      </c>
      <c r="D32" s="34" t="n">
        <f aca="false">IFERROR(AVERAGEIFS('Cleaned Data'!$J$2:$J$66,'Cleaned Data'!$B$2:$B$66,A32),"")</f>
        <v>69.2360606060606</v>
      </c>
      <c r="E32" s="35" t="n">
        <f aca="false">IFERROR(AVERAGEIFS('Cleaned Data'!$U$2:$U$66,'Cleaned Data'!$B$2:$B$66,A32),"")</f>
        <v>3.94852941176471</v>
      </c>
      <c r="F32" s="35" t="n">
        <f aca="false">IFERROR(AVERAGEIFS('Cleaned Data'!$M$2:$M$66,'Cleaned Data'!$B$2:$B$66,A32),"")</f>
        <v>3.61764705882353</v>
      </c>
      <c r="H32" s="40" t="n">
        <f aca="false">MATCH(ROWS($H$5:H32),$L$5:$L$69,0)</f>
        <v>31</v>
      </c>
      <c r="I32" s="41" t="n">
        <f aca="false">INDEX('Cleaned Data'!$U$2:$U$66,H32)</f>
        <v>5.75</v>
      </c>
      <c r="J32" s="42" t="n">
        <f aca="false">INDEX('Cleaned Data'!$J$2:$J$66,H32)</f>
        <v>74.1</v>
      </c>
      <c r="L32" s="40" t="n">
        <f aca="false">IF('Cleaned Data'!$I$29="Yes",COUNTIF('Cleaned Data'!$I$2:$I$29,"Yes"),"")</f>
        <v>25</v>
      </c>
    </row>
    <row r="33" customFormat="false" ht="15" hidden="false" customHeight="true" outlineLevel="0" collapsed="false">
      <c r="A33" s="33" t="s">
        <v>80</v>
      </c>
      <c r="B33" s="39" t="n">
        <f aca="false">COUNTIF('Cleaned Data'!$B$2:$B$66,A33)</f>
        <v>18</v>
      </c>
      <c r="C33" s="39" t="n">
        <f aca="false">COUNTIFS('Cleaned Data'!$B$2:$B$66,A33,'Cleaned Data'!$I$2:$I$66,"Yes")</f>
        <v>16</v>
      </c>
      <c r="D33" s="34" t="n">
        <f aca="false">IFERROR(AVERAGEIFS('Cleaned Data'!$J$2:$J$66,'Cleaned Data'!$B$2:$B$66,A33),"")</f>
        <v>67.5215625</v>
      </c>
      <c r="E33" s="35" t="n">
        <f aca="false">IFERROR(AVERAGEIFS('Cleaned Data'!$U$2:$U$66,'Cleaned Data'!$B$2:$B$66,A33),"")</f>
        <v>4.09722222222222</v>
      </c>
      <c r="F33" s="35" t="n">
        <f aca="false">IFERROR(AVERAGEIFS('Cleaned Data'!$M$2:$M$66,'Cleaned Data'!$B$2:$B$66,A33),"")</f>
        <v>3.61111111111111</v>
      </c>
      <c r="H33" s="40" t="n">
        <f aca="false">MATCH(ROWS($H$5:H33),$L$5:$L$69,0)</f>
        <v>32</v>
      </c>
      <c r="I33" s="41" t="n">
        <f aca="false">INDEX('Cleaned Data'!$U$2:$U$66,H33)</f>
        <v>4.5</v>
      </c>
      <c r="J33" s="42" t="n">
        <f aca="false">INDEX('Cleaned Data'!$J$2:$J$66,H33)</f>
        <v>78</v>
      </c>
      <c r="L33" s="40" t="n">
        <f aca="false">IF('Cleaned Data'!$I$30="Yes",COUNTIF('Cleaned Data'!$I$2:$I$30,"Yes"),"")</f>
        <v>26</v>
      </c>
    </row>
    <row r="34" customFormat="false" ht="15" hidden="false" customHeight="true" outlineLevel="0" collapsed="false">
      <c r="A34" s="33" t="s">
        <v>95</v>
      </c>
      <c r="B34" s="39" t="n">
        <f aca="false">COUNTIF('Cleaned Data'!$B$2:$B$66,A34)</f>
        <v>12</v>
      </c>
      <c r="C34" s="39" t="n">
        <f aca="false">COUNTIFS('Cleaned Data'!$B$2:$B$66,A34,'Cleaned Data'!$I$2:$I$66,"Yes")</f>
        <v>12</v>
      </c>
      <c r="D34" s="34" t="n">
        <f aca="false">IFERROR(AVERAGEIFS('Cleaned Data'!$J$2:$J$66,'Cleaned Data'!$B$2:$B$66,A34),"")</f>
        <v>79.0683333333333</v>
      </c>
      <c r="E34" s="35" t="n">
        <f aca="false">IFERROR(AVERAGEIFS('Cleaned Data'!$U$2:$U$66,'Cleaned Data'!$B$2:$B$66,A34),"")</f>
        <v>3.52083333333333</v>
      </c>
      <c r="F34" s="35" t="n">
        <f aca="false">IFERROR(AVERAGEIFS('Cleaned Data'!$M$2:$M$66,'Cleaned Data'!$B$2:$B$66,A34),"")</f>
        <v>3.75</v>
      </c>
      <c r="H34" s="40" t="n">
        <f aca="false">MATCH(ROWS($H$5:H34),$L$5:$L$69,0)</f>
        <v>33</v>
      </c>
      <c r="I34" s="41" t="n">
        <f aca="false">INDEX('Cleaned Data'!$U$2:$U$66,H34)</f>
        <v>4.25</v>
      </c>
      <c r="J34" s="42" t="n">
        <f aca="false">INDEX('Cleaned Data'!$J$2:$J$66,H34)</f>
        <v>90</v>
      </c>
      <c r="L34" s="40" t="n">
        <f aca="false">IF('Cleaned Data'!$I$31="Yes",COUNTIF('Cleaned Data'!$I$2:$I$31,"Yes"),"")</f>
        <v>27</v>
      </c>
    </row>
    <row r="35" customFormat="false" ht="15" hidden="false" customHeight="true" outlineLevel="0" collapsed="false">
      <c r="A35" s="33" t="s">
        <v>228</v>
      </c>
      <c r="B35" s="39" t="n">
        <f aca="false">COUNTIF('Cleaned Data'!$B$2:$B$66,A35)</f>
        <v>1</v>
      </c>
      <c r="C35" s="39" t="n">
        <f aca="false">COUNTIFS('Cleaned Data'!$B$2:$B$66,A35,'Cleaned Data'!$I$2:$I$66,"Yes")</f>
        <v>1</v>
      </c>
      <c r="D35" s="34" t="n">
        <f aca="false">IFERROR(AVERAGEIFS('Cleaned Data'!$J$2:$J$66,'Cleaned Data'!$B$2:$B$66,A35),"")</f>
        <v>90</v>
      </c>
      <c r="E35" s="35" t="n">
        <f aca="false">IFERROR(AVERAGEIFS('Cleaned Data'!$U$2:$U$66,'Cleaned Data'!$B$2:$B$66,A35),"")</f>
        <v>4.25</v>
      </c>
      <c r="F35" s="35" t="n">
        <f aca="false">IFERROR(AVERAGEIFS('Cleaned Data'!$M$2:$M$66,'Cleaned Data'!$B$2:$B$66,A35),"")</f>
        <v>5</v>
      </c>
      <c r="H35" s="40" t="n">
        <f aca="false">MATCH(ROWS($H$5:H35),$L$5:$L$69,0)</f>
        <v>34</v>
      </c>
      <c r="I35" s="41" t="n">
        <f aca="false">INDEX('Cleaned Data'!$U$2:$U$66,H35)</f>
        <v>5</v>
      </c>
      <c r="J35" s="42" t="n">
        <f aca="false">INDEX('Cleaned Data'!$J$2:$J$66,H35)</f>
        <v>78</v>
      </c>
      <c r="L35" s="40" t="n">
        <f aca="false">IF('Cleaned Data'!$I$32="Yes",COUNTIF('Cleaned Data'!$I$2:$I$32,"Yes"),"")</f>
        <v>28</v>
      </c>
    </row>
    <row r="36" customFormat="false" ht="15" hidden="false" customHeight="true" outlineLevel="0" collapsed="false">
      <c r="A36" s="30" t="s">
        <v>278</v>
      </c>
      <c r="H36" s="40" t="n">
        <f aca="false">MATCH(ROWS($H$5:H36),$L$5:$L$69,0)</f>
        <v>35</v>
      </c>
      <c r="I36" s="41" t="n">
        <f aca="false">INDEX('Cleaned Data'!$U$2:$U$66,H36)</f>
        <v>3.5</v>
      </c>
      <c r="J36" s="42" t="n">
        <f aca="false">INDEX('Cleaned Data'!$J$2:$J$66,H36)</f>
        <v>88.35</v>
      </c>
      <c r="L36" s="40" t="n">
        <f aca="false">IF('Cleaned Data'!$I$33="Yes",COUNTIF('Cleaned Data'!$I$2:$I$33,"Yes"),"")</f>
        <v>29</v>
      </c>
    </row>
    <row r="37" customFormat="false" ht="15" hidden="false" customHeight="false" outlineLevel="0" collapsed="false">
      <c r="H37" s="40" t="n">
        <f aca="false">MATCH(ROWS($H$5:H37),$L$5:$L$69,0)</f>
        <v>36</v>
      </c>
      <c r="I37" s="41" t="n">
        <f aca="false">INDEX('Cleaned Data'!$U$2:$U$66,H37)</f>
        <v>4.5</v>
      </c>
      <c r="J37" s="42" t="n">
        <f aca="false">INDEX('Cleaned Data'!$J$2:$J$66,H37)</f>
        <v>67</v>
      </c>
      <c r="L37" s="40" t="n">
        <f aca="false">IF('Cleaned Data'!$I$34="Yes",COUNTIF('Cleaned Data'!$I$2:$I$34,"Yes"),"")</f>
        <v>30</v>
      </c>
    </row>
    <row r="38" customFormat="false" ht="15" hidden="false" customHeight="false" outlineLevel="0" collapsed="false">
      <c r="H38" s="40" t="n">
        <f aca="false">MATCH(ROWS($H$5:H38),$L$5:$L$69,0)</f>
        <v>37</v>
      </c>
      <c r="I38" s="41" t="n">
        <f aca="false">INDEX('Cleaned Data'!$U$2:$U$66,H38)</f>
        <v>3.25</v>
      </c>
      <c r="J38" s="42" t="n">
        <f aca="false">INDEX('Cleaned Data'!$J$2:$J$66,H38)</f>
        <v>74.1</v>
      </c>
      <c r="L38" s="40" t="n">
        <f aca="false">IF('Cleaned Data'!$I$35="Yes",COUNTIF('Cleaned Data'!$I$2:$I$35,"Yes"),"")</f>
        <v>31</v>
      </c>
    </row>
    <row r="39" customFormat="false" ht="15" hidden="false" customHeight="true" outlineLevel="0" collapsed="false">
      <c r="A39" s="36" t="s">
        <v>279</v>
      </c>
      <c r="H39" s="40" t="n">
        <f aca="false">MATCH(ROWS($H$5:H39),$L$5:$L$69,0)</f>
        <v>38</v>
      </c>
      <c r="I39" s="41" t="n">
        <f aca="false">INDEX('Cleaned Data'!$U$2:$U$66,H39)</f>
        <v>3.25</v>
      </c>
      <c r="J39" s="42" t="n">
        <f aca="false">INDEX('Cleaned Data'!$J$2:$J$66,H39)</f>
        <v>73</v>
      </c>
      <c r="L39" s="40" t="n">
        <f aca="false">IF('Cleaned Data'!$I$36="Yes",COUNTIF('Cleaned Data'!$I$2:$I$36,"Yes"),"")</f>
        <v>32</v>
      </c>
    </row>
    <row r="40" customFormat="false" ht="31.5" hidden="false" customHeight="true" outlineLevel="0" collapsed="false">
      <c r="A40" s="38" t="s">
        <v>280</v>
      </c>
      <c r="B40" s="38" t="s">
        <v>273</v>
      </c>
      <c r="C40" s="38" t="s">
        <v>274</v>
      </c>
      <c r="D40" s="38" t="s">
        <v>275</v>
      </c>
      <c r="E40" s="38" t="s">
        <v>276</v>
      </c>
      <c r="F40" s="38" t="s">
        <v>277</v>
      </c>
      <c r="H40" s="40" t="n">
        <f aca="false">MATCH(ROWS($H$5:H40),$L$5:$L$69,0)</f>
        <v>39</v>
      </c>
      <c r="I40" s="41" t="n">
        <f aca="false">INDEX('Cleaned Data'!$U$2:$U$66,H40)</f>
        <v>4.25</v>
      </c>
      <c r="J40" s="42" t="n">
        <f aca="false">INDEX('Cleaned Data'!$J$2:$J$66,H40)</f>
        <v>90.25</v>
      </c>
      <c r="L40" s="40" t="n">
        <f aca="false">IF('Cleaned Data'!$I$37="Yes",COUNTIF('Cleaned Data'!$I$2:$I$37,"Yes"),"")</f>
        <v>33</v>
      </c>
    </row>
    <row r="41" customFormat="false" ht="15" hidden="false" customHeight="true" outlineLevel="0" collapsed="false">
      <c r="A41" s="33" t="s">
        <v>87</v>
      </c>
      <c r="B41" s="39" t="n">
        <f aca="false">COUNTIF('Cleaned Data'!$C$2:$C$66,A41)</f>
        <v>16</v>
      </c>
      <c r="C41" s="39" t="n">
        <f aca="false">COUNTIFS('Cleaned Data'!$C$2:$C$66,A41,'Cleaned Data'!$I$2:$I$66,"Yes")</f>
        <v>16</v>
      </c>
      <c r="D41" s="34" t="n">
        <f aca="false">IFERROR(AVERAGEIFS('Cleaned Data'!$J$2:$J$66,'Cleaned Data'!$C$2:$C$66,A41),"")</f>
        <v>72.803125</v>
      </c>
      <c r="E41" s="35" t="n">
        <f aca="false">IFERROR(AVERAGEIFS('Cleaned Data'!$U$2:$U$66,'Cleaned Data'!$C$2:$C$66,A41),"")</f>
        <v>3.75</v>
      </c>
      <c r="F41" s="35" t="n">
        <f aca="false">IFERROR(AVERAGEIFS('Cleaned Data'!$M$2:$M$66,'Cleaned Data'!$C$2:$C$66,A41),"")</f>
        <v>3.25</v>
      </c>
      <c r="H41" s="40" t="n">
        <f aca="false">MATCH(ROWS($H$5:H41),$L$5:$L$69,0)</f>
        <v>40</v>
      </c>
      <c r="I41" s="41" t="n">
        <f aca="false">INDEX('Cleaned Data'!$U$2:$U$66,H41)</f>
        <v>4.25</v>
      </c>
      <c r="J41" s="42" t="n">
        <f aca="false">INDEX('Cleaned Data'!$J$2:$J$66,H41)</f>
        <v>79.8</v>
      </c>
      <c r="L41" s="40" t="n">
        <f aca="false">IF('Cleaned Data'!$I$38="Yes",COUNTIF('Cleaned Data'!$I$2:$I$38,"Yes"),"")</f>
        <v>34</v>
      </c>
    </row>
    <row r="42" customFormat="false" ht="15" hidden="false" customHeight="true" outlineLevel="0" collapsed="false">
      <c r="A42" s="33" t="s">
        <v>96</v>
      </c>
      <c r="B42" s="39" t="n">
        <f aca="false">COUNTIF('Cleaned Data'!$C$2:$C$66,A42)</f>
        <v>11</v>
      </c>
      <c r="C42" s="39" t="n">
        <f aca="false">COUNTIFS('Cleaned Data'!$C$2:$C$66,A42,'Cleaned Data'!$I$2:$I$66,"Yes")</f>
        <v>11</v>
      </c>
      <c r="D42" s="34" t="n">
        <f aca="false">IFERROR(AVERAGEIFS('Cleaned Data'!$J$2:$J$66,'Cleaned Data'!$C$2:$C$66,A42),"")</f>
        <v>74.1163636363636</v>
      </c>
      <c r="E42" s="35" t="n">
        <f aca="false">IFERROR(AVERAGEIFS('Cleaned Data'!$U$2:$U$66,'Cleaned Data'!$C$2:$C$66,A42),"")</f>
        <v>3.61363636363636</v>
      </c>
      <c r="F42" s="35" t="n">
        <f aca="false">IFERROR(AVERAGEIFS('Cleaned Data'!$M$2:$M$66,'Cleaned Data'!$C$2:$C$66,A42),"")</f>
        <v>3.36363636363636</v>
      </c>
      <c r="H42" s="40" t="n">
        <f aca="false">MATCH(ROWS($H$5:H42),$L$5:$L$69,0)</f>
        <v>41</v>
      </c>
      <c r="I42" s="41" t="n">
        <f aca="false">INDEX('Cleaned Data'!$U$2:$U$66,H42)</f>
        <v>4.5</v>
      </c>
      <c r="J42" s="42" t="n">
        <f aca="false">INDEX('Cleaned Data'!$J$2:$J$66,H42)</f>
        <v>67.355</v>
      </c>
      <c r="L42" s="40" t="n">
        <f aca="false">IF('Cleaned Data'!$I$39="Yes",COUNTIF('Cleaned Data'!$I$2:$I$39,"Yes"),"")</f>
        <v>35</v>
      </c>
    </row>
    <row r="43" customFormat="false" ht="15" hidden="false" customHeight="true" outlineLevel="0" collapsed="false">
      <c r="A43" s="33" t="s">
        <v>63</v>
      </c>
      <c r="B43" s="39" t="n">
        <f aca="false">COUNTIF('Cleaned Data'!$C$2:$C$66,A43)</f>
        <v>9</v>
      </c>
      <c r="C43" s="39" t="n">
        <f aca="false">COUNTIFS('Cleaned Data'!$C$2:$C$66,A43,'Cleaned Data'!$I$2:$I$66,"Yes")</f>
        <v>9</v>
      </c>
      <c r="D43" s="34" t="n">
        <f aca="false">IFERROR(AVERAGEIFS('Cleaned Data'!$J$2:$J$66,'Cleaned Data'!$C$2:$C$66,A43),"")</f>
        <v>69.8022222222222</v>
      </c>
      <c r="E43" s="35" t="n">
        <f aca="false">IFERROR(AVERAGEIFS('Cleaned Data'!$U$2:$U$66,'Cleaned Data'!$C$2:$C$66,A43),"")</f>
        <v>5.11111111111111</v>
      </c>
      <c r="F43" s="35" t="n">
        <f aca="false">IFERROR(AVERAGEIFS('Cleaned Data'!$M$2:$M$66,'Cleaned Data'!$C$2:$C$66,A43),"")</f>
        <v>4.22222222222222</v>
      </c>
      <c r="H43" s="40" t="n">
        <f aca="false">MATCH(ROWS($H$5:H43),$L$5:$L$69,0)</f>
        <v>42</v>
      </c>
      <c r="I43" s="41" t="n">
        <f aca="false">INDEX('Cleaned Data'!$U$2:$U$66,H43)</f>
        <v>3.25</v>
      </c>
      <c r="J43" s="42" t="n">
        <f aca="false">INDEX('Cleaned Data'!$J$2:$J$66,H43)</f>
        <v>72.2</v>
      </c>
      <c r="L43" s="40" t="n">
        <f aca="false">IF('Cleaned Data'!$I$40="Yes",COUNTIF('Cleaned Data'!$I$2:$I$40,"Yes"),"")</f>
        <v>36</v>
      </c>
    </row>
    <row r="44" customFormat="false" ht="15" hidden="false" customHeight="true" outlineLevel="0" collapsed="false">
      <c r="A44" s="33" t="s">
        <v>73</v>
      </c>
      <c r="B44" s="39" t="n">
        <f aca="false">COUNTIF('Cleaned Data'!$C$2:$C$66,A44)</f>
        <v>9</v>
      </c>
      <c r="C44" s="39" t="n">
        <f aca="false">COUNTIFS('Cleaned Data'!$C$2:$C$66,A44,'Cleaned Data'!$I$2:$I$66,"Yes")</f>
        <v>8</v>
      </c>
      <c r="D44" s="34" t="n">
        <f aca="false">IFERROR(AVERAGEIFS('Cleaned Data'!$J$2:$J$66,'Cleaned Data'!$C$2:$C$66,A44),"")</f>
        <v>62.92125</v>
      </c>
      <c r="E44" s="35" t="n">
        <f aca="false">IFERROR(AVERAGEIFS('Cleaned Data'!$U$2:$U$66,'Cleaned Data'!$C$2:$C$66,A44),"")</f>
        <v>3.97222222222222</v>
      </c>
      <c r="F44" s="35" t="n">
        <f aca="false">IFERROR(AVERAGEIFS('Cleaned Data'!$M$2:$M$66,'Cleaned Data'!$C$2:$C$66,A44),"")</f>
        <v>3.88888888888889</v>
      </c>
      <c r="H44" s="40" t="n">
        <f aca="false">MATCH(ROWS($H$5:H44),$L$5:$L$69,0)</f>
        <v>43</v>
      </c>
      <c r="I44" s="41" t="n">
        <f aca="false">INDEX('Cleaned Data'!$U$2:$U$66,H44)</f>
        <v>5.25</v>
      </c>
      <c r="J44" s="42" t="n">
        <f aca="false">INDEX('Cleaned Data'!$J$2:$J$66,H44)</f>
        <v>63</v>
      </c>
      <c r="L44" s="40" t="n">
        <f aca="false">IF('Cleaned Data'!$I$41="Yes",COUNTIF('Cleaned Data'!$I$2:$I$41,"Yes"),"")</f>
        <v>37</v>
      </c>
    </row>
    <row r="45" customFormat="false" ht="15" hidden="false" customHeight="true" outlineLevel="0" collapsed="false">
      <c r="A45" s="33" t="s">
        <v>68</v>
      </c>
      <c r="B45" s="39" t="n">
        <f aca="false">COUNTIF('Cleaned Data'!$C$2:$C$66,A45)</f>
        <v>8</v>
      </c>
      <c r="C45" s="39" t="n">
        <f aca="false">COUNTIFS('Cleaned Data'!$C$2:$C$66,A45,'Cleaned Data'!$I$2:$I$66,"Yes")</f>
        <v>8</v>
      </c>
      <c r="D45" s="34" t="n">
        <f aca="false">IFERROR(AVERAGEIFS('Cleaned Data'!$J$2:$J$66,'Cleaned Data'!$C$2:$C$66,A45),"")</f>
        <v>75.31875</v>
      </c>
      <c r="E45" s="35" t="n">
        <f aca="false">IFERROR(AVERAGEIFS('Cleaned Data'!$U$2:$U$66,'Cleaned Data'!$C$2:$C$66,A45),"")</f>
        <v>3.5</v>
      </c>
      <c r="F45" s="35" t="n">
        <f aca="false">IFERROR(AVERAGEIFS('Cleaned Data'!$M$2:$M$66,'Cleaned Data'!$C$2:$C$66,A45),"")</f>
        <v>4.125</v>
      </c>
      <c r="H45" s="40" t="n">
        <f aca="false">MATCH(ROWS($H$5:H45),$L$5:$L$69,0)</f>
        <v>44</v>
      </c>
      <c r="I45" s="41" t="n">
        <f aca="false">INDEX('Cleaned Data'!$U$2:$U$66,H45)</f>
        <v>3.5</v>
      </c>
      <c r="J45" s="42" t="n">
        <f aca="false">INDEX('Cleaned Data'!$J$2:$J$66,H45)</f>
        <v>67</v>
      </c>
      <c r="L45" s="40" t="n">
        <f aca="false">IF('Cleaned Data'!$I$42="Yes",COUNTIF('Cleaned Data'!$I$2:$I$42,"Yes"),"")</f>
        <v>38</v>
      </c>
    </row>
    <row r="46" customFormat="false" ht="15" hidden="false" customHeight="true" outlineLevel="0" collapsed="false">
      <c r="A46" s="33" t="s">
        <v>71</v>
      </c>
      <c r="B46" s="39" t="n">
        <f aca="false">COUNTIF('Cleaned Data'!$C$2:$C$66,A46)</f>
        <v>6</v>
      </c>
      <c r="C46" s="39" t="n">
        <f aca="false">COUNTIFS('Cleaned Data'!$C$2:$C$66,A46,'Cleaned Data'!$I$2:$I$66,"Yes")</f>
        <v>5</v>
      </c>
      <c r="D46" s="34" t="n">
        <f aca="false">IFERROR(AVERAGEIFS('Cleaned Data'!$J$2:$J$66,'Cleaned Data'!$C$2:$C$66,A46),"")</f>
        <v>64.599</v>
      </c>
      <c r="E46" s="35" t="n">
        <f aca="false">IFERROR(AVERAGEIFS('Cleaned Data'!$U$2:$U$66,'Cleaned Data'!$C$2:$C$66,A46),"")</f>
        <v>3.70833333333333</v>
      </c>
      <c r="F46" s="35" t="n">
        <f aca="false">IFERROR(AVERAGEIFS('Cleaned Data'!$M$2:$M$66,'Cleaned Data'!$C$2:$C$66,A46),"")</f>
        <v>3.66666666666667</v>
      </c>
      <c r="H46" s="40" t="n">
        <f aca="false">MATCH(ROWS($H$5:H46),$L$5:$L$69,0)</f>
        <v>45</v>
      </c>
      <c r="I46" s="41" t="n">
        <f aca="false">INDEX('Cleaned Data'!$U$2:$U$66,H46)</f>
        <v>5</v>
      </c>
      <c r="J46" s="42" t="n">
        <f aca="false">INDEX('Cleaned Data'!$J$2:$J$66,H46)</f>
        <v>69.35</v>
      </c>
      <c r="L46" s="40" t="n">
        <f aca="false">IF('Cleaned Data'!$I$43="Yes",COUNTIF('Cleaned Data'!$I$2:$I$43,"Yes"),"")</f>
        <v>39</v>
      </c>
    </row>
    <row r="47" customFormat="false" ht="15" hidden="false" customHeight="true" outlineLevel="0" collapsed="false">
      <c r="A47" s="33" t="s">
        <v>213</v>
      </c>
      <c r="B47" s="39" t="n">
        <f aca="false">COUNTIF('Cleaned Data'!$C$2:$C$66,A47)</f>
        <v>6</v>
      </c>
      <c r="C47" s="39" t="n">
        <f aca="false">COUNTIFS('Cleaned Data'!$C$2:$C$66,A47,'Cleaned Data'!$I$2:$I$66,"Yes")</f>
        <v>5</v>
      </c>
      <c r="D47" s="34" t="n">
        <f aca="false">IFERROR(AVERAGEIFS('Cleaned Data'!$J$2:$J$66,'Cleaned Data'!$C$2:$C$66,A47),"")</f>
        <v>73.338</v>
      </c>
      <c r="E47" s="35" t="n">
        <f aca="false">IFERROR(AVERAGEIFS('Cleaned Data'!$U$2:$U$66,'Cleaned Data'!$C$2:$C$66,A47),"")</f>
        <v>3.79166666666667</v>
      </c>
      <c r="F47" s="35" t="n">
        <f aca="false">IFERROR(AVERAGEIFS('Cleaned Data'!$M$2:$M$66,'Cleaned Data'!$C$2:$C$66,A47),"")</f>
        <v>3.5</v>
      </c>
      <c r="H47" s="40" t="n">
        <f aca="false">MATCH(ROWS($H$5:H47),$L$5:$L$69,0)</f>
        <v>46</v>
      </c>
      <c r="I47" s="41" t="n">
        <f aca="false">INDEX('Cleaned Data'!$U$2:$U$66,H47)</f>
        <v>3.5</v>
      </c>
      <c r="J47" s="42" t="n">
        <f aca="false">INDEX('Cleaned Data'!$J$2:$J$66,H47)</f>
        <v>93</v>
      </c>
      <c r="L47" s="40" t="n">
        <f aca="false">IF('Cleaned Data'!$I$44="Yes",COUNTIF('Cleaned Data'!$I$2:$I$44,"Yes"),"")</f>
        <v>40</v>
      </c>
    </row>
    <row r="48" customFormat="false" ht="15" hidden="false" customHeight="false" outlineLevel="0" collapsed="false">
      <c r="H48" s="40" t="n">
        <f aca="false">MATCH(ROWS($H$5:H48),$L$5:$L$69,0)</f>
        <v>47</v>
      </c>
      <c r="I48" s="41" t="n">
        <f aca="false">INDEX('Cleaned Data'!$U$2:$U$66,H48)</f>
        <v>3.75</v>
      </c>
      <c r="J48" s="42" t="n">
        <f aca="false">INDEX('Cleaned Data'!$J$2:$J$66,H48)</f>
        <v>78</v>
      </c>
      <c r="L48" s="40" t="n">
        <f aca="false">IF('Cleaned Data'!$I$45="Yes",COUNTIF('Cleaned Data'!$I$2:$I$45,"Yes"),"")</f>
        <v>41</v>
      </c>
    </row>
    <row r="49" customFormat="false" ht="15" hidden="false" customHeight="false" outlineLevel="0" collapsed="false">
      <c r="H49" s="40" t="n">
        <f aca="false">MATCH(ROWS($H$5:H49),$L$5:$L$69,0)</f>
        <v>48</v>
      </c>
      <c r="I49" s="41" t="n">
        <f aca="false">INDEX('Cleaned Data'!$U$2:$U$66,H49)</f>
        <v>3.25</v>
      </c>
      <c r="J49" s="42" t="n">
        <f aca="false">INDEX('Cleaned Data'!$J$2:$J$66,H49)</f>
        <v>76</v>
      </c>
      <c r="L49" s="40" t="n">
        <f aca="false">IF('Cleaned Data'!$I$46="Yes",COUNTIF('Cleaned Data'!$I$2:$I$46,"Yes"),"")</f>
        <v>42</v>
      </c>
    </row>
    <row r="50" customFormat="false" ht="15" hidden="false" customHeight="true" outlineLevel="0" collapsed="false">
      <c r="A50" s="36" t="s">
        <v>281</v>
      </c>
      <c r="H50" s="40" t="n">
        <f aca="false">MATCH(ROWS($H$5:H50),$L$5:$L$69,0)</f>
        <v>49</v>
      </c>
      <c r="I50" s="41" t="n">
        <f aca="false">INDEX('Cleaned Data'!$U$2:$U$66,H50)</f>
        <v>3</v>
      </c>
      <c r="J50" s="42" t="n">
        <f aca="false">INDEX('Cleaned Data'!$J$2:$J$66,H50)</f>
        <v>72</v>
      </c>
      <c r="L50" s="40" t="n">
        <f aca="false">IF('Cleaned Data'!$I$47="Yes",COUNTIF('Cleaned Data'!$I$2:$I$47,"Yes"),"")</f>
        <v>43</v>
      </c>
    </row>
    <row r="51" customFormat="false" ht="31.5" hidden="false" customHeight="true" outlineLevel="0" collapsed="false">
      <c r="A51" s="38" t="s">
        <v>282</v>
      </c>
      <c r="B51" s="38" t="s">
        <v>273</v>
      </c>
      <c r="C51" s="38" t="s">
        <v>274</v>
      </c>
      <c r="D51" s="38" t="s">
        <v>275</v>
      </c>
      <c r="E51" s="38" t="s">
        <v>276</v>
      </c>
      <c r="F51" s="38" t="s">
        <v>277</v>
      </c>
      <c r="H51" s="40" t="n">
        <f aca="false">MATCH(ROWS($H$5:H51),$L$5:$L$69,0)</f>
        <v>50</v>
      </c>
      <c r="I51" s="41" t="n">
        <f aca="false">INDEX('Cleaned Data'!$U$2:$U$66,H51)</f>
        <v>4.25</v>
      </c>
      <c r="J51" s="42" t="n">
        <f aca="false">INDEX('Cleaned Data'!$J$2:$J$66,H51)</f>
        <v>86</v>
      </c>
      <c r="L51" s="40" t="n">
        <f aca="false">IF('Cleaned Data'!$I$48="Yes",COUNTIF('Cleaned Data'!$I$2:$I$48,"Yes"),"")</f>
        <v>44</v>
      </c>
    </row>
    <row r="52" customFormat="false" ht="15" hidden="false" customHeight="true" outlineLevel="0" collapsed="false">
      <c r="A52" s="33" t="s">
        <v>76</v>
      </c>
      <c r="B52" s="39" t="n">
        <f aca="false">COUNTIF('Cleaned Data'!$D$2:$D$66,A52)</f>
        <v>15</v>
      </c>
      <c r="C52" s="39" t="n">
        <f aca="false">COUNTIFS('Cleaned Data'!$D$2:$D$66,A52,'Cleaned Data'!$I$2:$I$66,"Yes")</f>
        <v>12</v>
      </c>
      <c r="D52" s="34" t="n">
        <f aca="false">IFERROR(AVERAGEIFS('Cleaned Data'!$J$2:$J$66,'Cleaned Data'!$D$2:$D$66,A52),"")</f>
        <v>69.6633333333333</v>
      </c>
      <c r="E52" s="35" t="n">
        <f aca="false">IFERROR(AVERAGEIFS('Cleaned Data'!$U$2:$U$66,'Cleaned Data'!$D$2:$D$66,A52),"")</f>
        <v>3.65</v>
      </c>
      <c r="F52" s="35" t="n">
        <f aca="false">IFERROR(AVERAGEIFS('Cleaned Data'!$M$2:$M$66,'Cleaned Data'!$D$2:$D$66,A52),"")</f>
        <v>3.66666666666667</v>
      </c>
      <c r="H52" s="40" t="n">
        <f aca="false">MATCH(ROWS($H$5:H52),$L$5:$L$69,0)</f>
        <v>51</v>
      </c>
      <c r="I52" s="41" t="n">
        <f aca="false">INDEX('Cleaned Data'!$U$2:$U$66,H52)</f>
        <v>3.75</v>
      </c>
      <c r="J52" s="42" t="n">
        <f aca="false">INDEX('Cleaned Data'!$J$2:$J$66,H52)</f>
        <v>83</v>
      </c>
      <c r="L52" s="40" t="n">
        <f aca="false">IF('Cleaned Data'!$I$49="Yes",COUNTIF('Cleaned Data'!$I$2:$I$49,"Yes"),"")</f>
        <v>45</v>
      </c>
    </row>
    <row r="53" customFormat="false" ht="15" hidden="false" customHeight="true" outlineLevel="0" collapsed="false">
      <c r="A53" s="33" t="s">
        <v>64</v>
      </c>
      <c r="B53" s="39" t="n">
        <f aca="false">COUNTIF('Cleaned Data'!$D$2:$D$66,A53)</f>
        <v>24</v>
      </c>
      <c r="C53" s="39" t="n">
        <f aca="false">COUNTIFS('Cleaned Data'!$D$2:$D$66,A53,'Cleaned Data'!$I$2:$I$66,"Yes")</f>
        <v>24</v>
      </c>
      <c r="D53" s="34" t="n">
        <f aca="false">IFERROR(AVERAGEIFS('Cleaned Data'!$J$2:$J$66,'Cleaned Data'!$D$2:$D$66,A53),"")</f>
        <v>72.4254166666667</v>
      </c>
      <c r="E53" s="35" t="n">
        <f aca="false">IFERROR(AVERAGEIFS('Cleaned Data'!$U$2:$U$66,'Cleaned Data'!$D$2:$D$66,A53),"")</f>
        <v>3.91666666666667</v>
      </c>
      <c r="F53" s="35" t="n">
        <f aca="false">IFERROR(AVERAGEIFS('Cleaned Data'!$M$2:$M$66,'Cleaned Data'!$D$2:$D$66,A53),"")</f>
        <v>3.375</v>
      </c>
      <c r="H53" s="40" t="n">
        <f aca="false">MATCH(ROWS($H$5:H53),$L$5:$L$69,0)</f>
        <v>52</v>
      </c>
      <c r="I53" s="41" t="n">
        <f aca="false">INDEX('Cleaned Data'!$U$2:$U$66,H53)</f>
        <v>3.25</v>
      </c>
      <c r="J53" s="42" t="n">
        <f aca="false">INDEX('Cleaned Data'!$J$2:$J$66,H53)</f>
        <v>50.92</v>
      </c>
      <c r="L53" s="40" t="n">
        <f aca="false">IF('Cleaned Data'!$I$50="Yes",COUNTIF('Cleaned Data'!$I$2:$I$50,"Yes"),"")</f>
        <v>46</v>
      </c>
    </row>
    <row r="54" customFormat="false" ht="15" hidden="false" customHeight="true" outlineLevel="0" collapsed="false">
      <c r="A54" s="33" t="s">
        <v>92</v>
      </c>
      <c r="B54" s="39" t="n">
        <f aca="false">COUNTIF('Cleaned Data'!$D$2:$D$66,A54)</f>
        <v>16</v>
      </c>
      <c r="C54" s="39" t="n">
        <f aca="false">COUNTIFS('Cleaned Data'!$D$2:$D$66,A54,'Cleaned Data'!$I$2:$I$66,"Yes")</f>
        <v>16</v>
      </c>
      <c r="D54" s="34" t="n">
        <f aca="false">IFERROR(AVERAGEIFS('Cleaned Data'!$J$2:$J$66,'Cleaned Data'!$D$2:$D$66,A54),"")</f>
        <v>71.4240625</v>
      </c>
      <c r="E54" s="35" t="n">
        <f aca="false">IFERROR(AVERAGEIFS('Cleaned Data'!$U$2:$U$66,'Cleaned Data'!$D$2:$D$66,A54),"")</f>
        <v>4.015625</v>
      </c>
      <c r="F54" s="35" t="n">
        <f aca="false">IFERROR(AVERAGEIFS('Cleaned Data'!$M$2:$M$66,'Cleaned Data'!$D$2:$D$66,A54),"")</f>
        <v>3.875</v>
      </c>
      <c r="H54" s="40" t="n">
        <f aca="false">MATCH(ROWS($H$5:H54),$L$5:$L$69,0)</f>
        <v>53</v>
      </c>
      <c r="I54" s="41" t="n">
        <f aca="false">INDEX('Cleaned Data'!$U$2:$U$66,H54)</f>
        <v>3.5</v>
      </c>
      <c r="J54" s="42" t="n">
        <f aca="false">INDEX('Cleaned Data'!$J$2:$J$66,H54)</f>
        <v>91.865</v>
      </c>
      <c r="L54" s="40" t="n">
        <f aca="false">IF('Cleaned Data'!$I$51="Yes",COUNTIF('Cleaned Data'!$I$2:$I$51,"Yes"),"")</f>
        <v>47</v>
      </c>
    </row>
    <row r="55" customFormat="false" ht="15" hidden="false" customHeight="true" outlineLevel="0" collapsed="false">
      <c r="A55" s="33" t="s">
        <v>97</v>
      </c>
      <c r="B55" s="39" t="n">
        <f aca="false">COUNTIF('Cleaned Data'!$D$2:$D$66,A55)</f>
        <v>10</v>
      </c>
      <c r="C55" s="39" t="n">
        <f aca="false">COUNTIFS('Cleaned Data'!$D$2:$D$66,A55,'Cleaned Data'!$I$2:$I$66,"Yes")</f>
        <v>10</v>
      </c>
      <c r="D55" s="34" t="n">
        <f aca="false">IFERROR(AVERAGEIFS('Cleaned Data'!$J$2:$J$66,'Cleaned Data'!$D$2:$D$66,A55),"")</f>
        <v>68.7</v>
      </c>
      <c r="E55" s="35" t="n">
        <f aca="false">IFERROR(AVERAGEIFS('Cleaned Data'!$U$2:$U$66,'Cleaned Data'!$D$2:$D$66,A55),"")</f>
        <v>4.15</v>
      </c>
      <c r="F55" s="35" t="n">
        <f aca="false">IFERROR(AVERAGEIFS('Cleaned Data'!$M$2:$M$66,'Cleaned Data'!$D$2:$D$66,A55),"")</f>
        <v>4</v>
      </c>
      <c r="H55" s="40" t="n">
        <f aca="false">MATCH(ROWS($H$5:H55),$L$5:$L$69,0)</f>
        <v>54</v>
      </c>
      <c r="I55" s="41" t="n">
        <f aca="false">INDEX('Cleaned Data'!$U$2:$U$66,H55)</f>
        <v>3.75</v>
      </c>
      <c r="J55" s="42" t="n">
        <f aca="false">INDEX('Cleaned Data'!$J$2:$J$66,H55)</f>
        <v>65.645</v>
      </c>
      <c r="L55" s="40" t="n">
        <f aca="false">IF('Cleaned Data'!$I$52="Yes",COUNTIF('Cleaned Data'!$I$2:$I$52,"Yes"),"")</f>
        <v>48</v>
      </c>
    </row>
    <row r="56" customFormat="false" ht="15" hidden="false" customHeight="false" outlineLevel="0" collapsed="false">
      <c r="H56" s="40" t="n">
        <f aca="false">MATCH(ROWS($H$5:H56),$L$5:$L$69,0)</f>
        <v>55</v>
      </c>
      <c r="I56" s="41" t="n">
        <f aca="false">INDEX('Cleaned Data'!$U$2:$U$66,H56)</f>
        <v>3.75</v>
      </c>
      <c r="J56" s="42" t="n">
        <f aca="false">INDEX('Cleaned Data'!$J$2:$J$66,H56)</f>
        <v>81</v>
      </c>
      <c r="L56" s="40" t="n">
        <f aca="false">IF('Cleaned Data'!$I$53="Yes",COUNTIF('Cleaned Data'!$I$2:$I$53,"Yes"),"")</f>
        <v>49</v>
      </c>
    </row>
    <row r="57" customFormat="false" ht="15" hidden="false" customHeight="false" outlineLevel="0" collapsed="false">
      <c r="H57" s="40" t="n">
        <f aca="false">MATCH(ROWS($H$5:H57),$L$5:$L$69,0)</f>
        <v>56</v>
      </c>
      <c r="I57" s="41" t="n">
        <f aca="false">INDEX('Cleaned Data'!$U$2:$U$66,H57)</f>
        <v>3.75</v>
      </c>
      <c r="J57" s="42" t="n">
        <f aca="false">INDEX('Cleaned Data'!$J$2:$J$66,H57)</f>
        <v>48.3</v>
      </c>
      <c r="L57" s="40" t="n">
        <f aca="false">IF('Cleaned Data'!$I$54="Yes",COUNTIF('Cleaned Data'!$I$2:$I$54,"Yes"),"")</f>
        <v>50</v>
      </c>
    </row>
    <row r="58" customFormat="false" ht="15" hidden="false" customHeight="true" outlineLevel="0" collapsed="false">
      <c r="A58" s="36" t="s">
        <v>283</v>
      </c>
      <c r="H58" s="40" t="n">
        <f aca="false">MATCH(ROWS($H$5:H58),$L$5:$L$69,0)</f>
        <v>57</v>
      </c>
      <c r="I58" s="41" t="n">
        <f aca="false">INDEX('Cleaned Data'!$U$2:$U$66,H58)</f>
        <v>3.25</v>
      </c>
      <c r="J58" s="42" t="n">
        <f aca="false">INDEX('Cleaned Data'!$J$2:$J$66,H58)</f>
        <v>56</v>
      </c>
      <c r="L58" s="40" t="n">
        <f aca="false">IF('Cleaned Data'!$I$55="Yes",COUNTIF('Cleaned Data'!$I$2:$I$55,"Yes"),"")</f>
        <v>51</v>
      </c>
    </row>
    <row r="59" customFormat="false" ht="31.5" hidden="false" customHeight="true" outlineLevel="0" collapsed="false">
      <c r="A59" s="38" t="s">
        <v>284</v>
      </c>
      <c r="B59" s="38" t="s">
        <v>273</v>
      </c>
      <c r="C59" s="38" t="s">
        <v>274</v>
      </c>
      <c r="D59" s="38" t="s">
        <v>275</v>
      </c>
      <c r="E59" s="38" t="s">
        <v>276</v>
      </c>
      <c r="F59" s="38" t="s">
        <v>285</v>
      </c>
      <c r="H59" s="40" t="n">
        <f aca="false">MATCH(ROWS($H$5:H59),$L$5:$L$69,0)</f>
        <v>58</v>
      </c>
      <c r="I59" s="41" t="n">
        <f aca="false">INDEX('Cleaned Data'!$U$2:$U$66,H59)</f>
        <v>3.75</v>
      </c>
      <c r="J59" s="42" t="n">
        <f aca="false">INDEX('Cleaned Data'!$J$2:$J$66,H59)</f>
        <v>65.265</v>
      </c>
      <c r="L59" s="40" t="n">
        <f aca="false">IF('Cleaned Data'!$I$56="Yes",COUNTIF('Cleaned Data'!$I$2:$I$56,"Yes"),"")</f>
        <v>52</v>
      </c>
    </row>
    <row r="60" customFormat="false" ht="15" hidden="false" customHeight="true" outlineLevel="0" collapsed="false">
      <c r="A60" s="33" t="s">
        <v>70</v>
      </c>
      <c r="B60" s="39" t="n">
        <f aca="false">COUNTIF('Cleaned Data'!$K$2:$K$66,A60)</f>
        <v>5</v>
      </c>
      <c r="C60" s="39" t="n">
        <f aca="false">COUNTIFS('Cleaned Data'!$K$2:$K$66,A60,'Cleaned Data'!$I$2:$I$66,"Yes")</f>
        <v>5</v>
      </c>
      <c r="D60" s="34" t="n">
        <f aca="false">IFERROR(AVERAGEIFS('Cleaned Data'!$J$2:$J$66,'Cleaned Data'!$K$2:$K$66,A60),"")</f>
        <v>64.079</v>
      </c>
      <c r="E60" s="35" t="n">
        <f aca="false">IFERROR(AVERAGEIFS('Cleaned Data'!$U$2:$U$66,'Cleaned Data'!$K$2:$K$66,A60),"")</f>
        <v>3.4</v>
      </c>
      <c r="F60" s="35" t="n">
        <f aca="false">IFERROR(AVERAGEIFS('Cleaned Data'!$T$2:$T$66,'Cleaned Data'!$K$2:$K$66,A60),"")</f>
        <v>3.2</v>
      </c>
      <c r="H60" s="40" t="n">
        <f aca="false">MATCH(ROWS($H$5:H60),$L$5:$L$69,0)</f>
        <v>59</v>
      </c>
      <c r="I60" s="41" t="n">
        <f aca="false">INDEX('Cleaned Data'!$U$2:$U$66,H60)</f>
        <v>5</v>
      </c>
      <c r="J60" s="42" t="n">
        <f aca="false">INDEX('Cleaned Data'!$J$2:$J$66,H60)</f>
        <v>58.3</v>
      </c>
      <c r="L60" s="40" t="n">
        <f aca="false">IF('Cleaned Data'!$I$57="Yes",COUNTIF('Cleaned Data'!$I$2:$I$57,"Yes"),"")</f>
        <v>53</v>
      </c>
    </row>
    <row r="61" customFormat="false" ht="15" hidden="false" customHeight="true" outlineLevel="0" collapsed="false">
      <c r="A61" s="33" t="s">
        <v>67</v>
      </c>
      <c r="B61" s="39" t="n">
        <f aca="false">COUNTIF('Cleaned Data'!$K$2:$K$66,A61)</f>
        <v>11</v>
      </c>
      <c r="C61" s="39" t="n">
        <f aca="false">COUNTIFS('Cleaned Data'!$K$2:$K$66,A61,'Cleaned Data'!$I$2:$I$66,"Yes")</f>
        <v>10</v>
      </c>
      <c r="D61" s="34" t="n">
        <f aca="false">IFERROR(AVERAGEIFS('Cleaned Data'!$J$2:$J$66,'Cleaned Data'!$K$2:$K$66,A61),"")</f>
        <v>66.817</v>
      </c>
      <c r="E61" s="35" t="n">
        <f aca="false">IFERROR(AVERAGEIFS('Cleaned Data'!$U$2:$U$66,'Cleaned Data'!$K$2:$K$66,A61),"")</f>
        <v>3.72727272727273</v>
      </c>
      <c r="F61" s="35" t="n">
        <f aca="false">IFERROR(AVERAGEIFS('Cleaned Data'!$T$2:$T$66,'Cleaned Data'!$K$2:$K$66,A61),"")</f>
        <v>3.36363636363636</v>
      </c>
      <c r="H61" s="40" t="n">
        <f aca="false">MATCH(ROWS($H$5:H61),$L$5:$L$69,0)</f>
        <v>60</v>
      </c>
      <c r="I61" s="41" t="n">
        <f aca="false">INDEX('Cleaned Data'!$U$2:$U$66,H61)</f>
        <v>3.5</v>
      </c>
      <c r="J61" s="42" t="n">
        <f aca="false">INDEX('Cleaned Data'!$J$2:$J$66,H61)</f>
        <v>76</v>
      </c>
      <c r="L61" s="40" t="n">
        <f aca="false">IF('Cleaned Data'!$I$58="Yes",COUNTIF('Cleaned Data'!$I$2:$I$58,"Yes"),"")</f>
        <v>54</v>
      </c>
    </row>
    <row r="62" customFormat="false" ht="15" hidden="false" customHeight="true" outlineLevel="0" collapsed="false">
      <c r="A62" s="33" t="s">
        <v>72</v>
      </c>
      <c r="B62" s="39" t="n">
        <f aca="false">COUNTIF('Cleaned Data'!$K$2:$K$66,A62)</f>
        <v>16</v>
      </c>
      <c r="C62" s="39" t="n">
        <f aca="false">COUNTIFS('Cleaned Data'!$K$2:$K$66,A62,'Cleaned Data'!$I$2:$I$66,"Yes")</f>
        <v>16</v>
      </c>
      <c r="D62" s="34" t="n">
        <f aca="false">IFERROR(AVERAGEIFS('Cleaned Data'!$J$2:$J$66,'Cleaned Data'!$K$2:$K$66,A62),"")</f>
        <v>68.359375</v>
      </c>
      <c r="E62" s="35" t="n">
        <f aca="false">IFERROR(AVERAGEIFS('Cleaned Data'!$U$2:$U$66,'Cleaned Data'!$K$2:$K$66,A62),"")</f>
        <v>3.765625</v>
      </c>
      <c r="F62" s="35" t="n">
        <f aca="false">IFERROR(AVERAGEIFS('Cleaned Data'!$T$2:$T$66,'Cleaned Data'!$K$2:$K$66,A62),"")</f>
        <v>4.0625</v>
      </c>
      <c r="H62" s="40" t="n">
        <f aca="false">MATCH(ROWS($H$5:H62),$L$5:$L$69,0)</f>
        <v>61</v>
      </c>
      <c r="I62" s="41" t="n">
        <f aca="false">INDEX('Cleaned Data'!$U$2:$U$66,H62)</f>
        <v>4.25</v>
      </c>
      <c r="J62" s="42" t="n">
        <f aca="false">INDEX('Cleaned Data'!$J$2:$J$66,H62)</f>
        <v>72.485</v>
      </c>
      <c r="L62" s="40" t="n">
        <f aca="false">IF('Cleaned Data'!$I$59="Yes",COUNTIF('Cleaned Data'!$I$2:$I$59,"Yes"),"")</f>
        <v>55</v>
      </c>
    </row>
    <row r="63" customFormat="false" ht="15" hidden="false" customHeight="true" outlineLevel="0" collapsed="false">
      <c r="A63" s="33" t="s">
        <v>74</v>
      </c>
      <c r="B63" s="39" t="n">
        <f aca="false">COUNTIF('Cleaned Data'!$K$2:$K$66,A63)</f>
        <v>20</v>
      </c>
      <c r="C63" s="39" t="n">
        <f aca="false">COUNTIFS('Cleaned Data'!$K$2:$K$66,A63,'Cleaned Data'!$I$2:$I$66,"Yes")</f>
        <v>19</v>
      </c>
      <c r="D63" s="34" t="n">
        <f aca="false">IFERROR(AVERAGEIFS('Cleaned Data'!$J$2:$J$66,'Cleaned Data'!$K$2:$K$66,A63),"")</f>
        <v>77.5781578947368</v>
      </c>
      <c r="E63" s="35" t="n">
        <f aca="false">IFERROR(AVERAGEIFS('Cleaned Data'!$U$2:$U$66,'Cleaned Data'!$K$2:$K$66,A63),"")</f>
        <v>4.2125</v>
      </c>
      <c r="F63" s="35" t="n">
        <f aca="false">IFERROR(AVERAGEIFS('Cleaned Data'!$T$2:$T$66,'Cleaned Data'!$K$2:$K$66,A63),"")</f>
        <v>4.3</v>
      </c>
      <c r="H63" s="40" t="n">
        <f aca="false">MATCH(ROWS($H$5:H63),$L$5:$L$69,0)</f>
        <v>62</v>
      </c>
      <c r="I63" s="41" t="n">
        <f aca="false">INDEX('Cleaned Data'!$U$2:$U$66,H63)</f>
        <v>6</v>
      </c>
      <c r="J63" s="42" t="n">
        <f aca="false">INDEX('Cleaned Data'!$J$2:$J$66,H63)</f>
        <v>50</v>
      </c>
      <c r="L63" s="40" t="n">
        <f aca="false">IF('Cleaned Data'!$I$60="Yes",COUNTIF('Cleaned Data'!$I$2:$I$60,"Yes"),"")</f>
        <v>56</v>
      </c>
    </row>
    <row r="64" customFormat="false" ht="15" hidden="false" customHeight="true" outlineLevel="0" collapsed="false">
      <c r="A64" s="33" t="s">
        <v>84</v>
      </c>
      <c r="B64" s="39" t="n">
        <f aca="false">COUNTIF('Cleaned Data'!$K$2:$K$66,A64)</f>
        <v>8</v>
      </c>
      <c r="C64" s="39" t="n">
        <f aca="false">COUNTIFS('Cleaned Data'!$K$2:$K$66,A64,'Cleaned Data'!$I$2:$I$66,"Yes")</f>
        <v>8</v>
      </c>
      <c r="D64" s="34" t="n">
        <f aca="false">IFERROR(AVERAGEIFS('Cleaned Data'!$J$2:$J$66,'Cleaned Data'!$K$2:$K$66,A64),"")</f>
        <v>69.806875</v>
      </c>
      <c r="E64" s="35" t="n">
        <f aca="false">IFERROR(AVERAGEIFS('Cleaned Data'!$U$2:$U$66,'Cleaned Data'!$K$2:$K$66,A64),"")</f>
        <v>4.1875</v>
      </c>
      <c r="F64" s="35" t="n">
        <f aca="false">IFERROR(AVERAGEIFS('Cleaned Data'!$T$2:$T$66,'Cleaned Data'!$K$2:$K$66,A64),"")</f>
        <v>4.25</v>
      </c>
      <c r="H64" s="40" t="n">
        <f aca="false">MATCH(ROWS($H$5:H64),$L$5:$L$69,0)</f>
        <v>63</v>
      </c>
      <c r="I64" s="41" t="n">
        <f aca="false">INDEX('Cleaned Data'!$U$2:$U$66,H64)</f>
        <v>5</v>
      </c>
      <c r="J64" s="42" t="n">
        <f aca="false">INDEX('Cleaned Data'!$J$2:$J$66,H64)</f>
        <v>56</v>
      </c>
      <c r="L64" s="40" t="n">
        <f aca="false">IF('Cleaned Data'!$I$61="Yes",COUNTIF('Cleaned Data'!$I$2:$I$61,"Yes"),"")</f>
        <v>57</v>
      </c>
    </row>
    <row r="65" customFormat="false" ht="15" hidden="false" customHeight="true" outlineLevel="0" collapsed="false">
      <c r="A65" s="33" t="s">
        <v>79</v>
      </c>
      <c r="B65" s="39" t="n">
        <f aca="false">COUNTIF('Cleaned Data'!$K$2:$K$66,A65)</f>
        <v>5</v>
      </c>
      <c r="C65" s="39" t="n">
        <f aca="false">COUNTIFS('Cleaned Data'!$K$2:$K$66,A65,'Cleaned Data'!$I$2:$I$66,"Yes")</f>
        <v>4</v>
      </c>
      <c r="D65" s="34" t="n">
        <f aca="false">IFERROR(AVERAGEIFS('Cleaned Data'!$J$2:$J$66,'Cleaned Data'!$K$2:$K$66,A65),"")</f>
        <v>72.3</v>
      </c>
      <c r="E65" s="35" t="n">
        <f aca="false">IFERROR(AVERAGEIFS('Cleaned Data'!$U$2:$U$66,'Cleaned Data'!$K$2:$K$66,A65),"")</f>
        <v>3.7</v>
      </c>
      <c r="F65" s="35" t="n">
        <f aca="false">IFERROR(AVERAGEIFS('Cleaned Data'!$T$2:$T$66,'Cleaned Data'!$K$2:$K$66,A65),"")</f>
        <v>4</v>
      </c>
      <c r="H65" s="40" t="n">
        <f aca="false">MATCH(ROWS($H$5:H65),$L$5:$L$69,0)</f>
        <v>64</v>
      </c>
      <c r="I65" s="41" t="n">
        <f aca="false">INDEX('Cleaned Data'!$U$2:$U$66,H65)</f>
        <v>4</v>
      </c>
      <c r="J65" s="42" t="n">
        <f aca="false">INDEX('Cleaned Data'!$J$2:$J$66,H65)</f>
        <v>57.3</v>
      </c>
      <c r="L65" s="40" t="n">
        <f aca="false">IF('Cleaned Data'!$I$62="Yes",COUNTIF('Cleaned Data'!$I$2:$I$62,"Yes"),"")</f>
        <v>58</v>
      </c>
    </row>
    <row r="66" customFormat="false" ht="15" hidden="false" customHeight="false" outlineLevel="0" collapsed="false">
      <c r="H66" s="40" t="n">
        <f aca="false">MATCH(ROWS($H$5:H66),$L$5:$L$69,0)</f>
        <v>65</v>
      </c>
      <c r="I66" s="41" t="n">
        <f aca="false">INDEX('Cleaned Data'!$U$2:$U$66,H66)</f>
        <v>4.75</v>
      </c>
      <c r="J66" s="42" t="n">
        <f aca="false">INDEX('Cleaned Data'!$J$2:$J$66,H66)</f>
        <v>89.3</v>
      </c>
      <c r="L66" s="40" t="n">
        <f aca="false">IF('Cleaned Data'!$I$63="Yes",COUNTIF('Cleaned Data'!$I$2:$I$63,"Yes"),"")</f>
        <v>59</v>
      </c>
    </row>
    <row r="67" customFormat="false" ht="15" hidden="false" customHeight="false" outlineLevel="0" collapsed="false">
      <c r="H67" s="44" t="s">
        <v>286</v>
      </c>
      <c r="L67" s="40" t="n">
        <f aca="false">IF('Cleaned Data'!$I$64="Yes",COUNTIF('Cleaned Data'!$I$2:$I$64,"Yes"),"")</f>
        <v>60</v>
      </c>
    </row>
    <row r="68" customFormat="false" ht="15" hidden="false" customHeight="true" outlineLevel="0" collapsed="false">
      <c r="A68" s="36" t="s">
        <v>287</v>
      </c>
      <c r="L68" s="40" t="n">
        <f aca="false">IF('Cleaned Data'!$I$65="Yes",COUNTIF('Cleaned Data'!$I$2:$I$65,"Yes"),"")</f>
        <v>61</v>
      </c>
    </row>
    <row r="69" customFormat="false" ht="31.5" hidden="false" customHeight="true" outlineLevel="0" collapsed="false">
      <c r="A69" s="38" t="s">
        <v>288</v>
      </c>
      <c r="B69" s="38" t="s">
        <v>273</v>
      </c>
      <c r="C69" s="38" t="s">
        <v>274</v>
      </c>
      <c r="D69" s="38" t="s">
        <v>275</v>
      </c>
      <c r="E69" s="38" t="s">
        <v>289</v>
      </c>
      <c r="F69" s="38" t="s">
        <v>277</v>
      </c>
      <c r="L69" s="40" t="n">
        <f aca="false">IF('Cleaned Data'!$I$66="Yes",COUNTIF('Cleaned Data'!$I$2:$I$66,"Yes"),"")</f>
        <v>62</v>
      </c>
    </row>
    <row r="70" customFormat="false" ht="15" hidden="false" customHeight="true" outlineLevel="0" collapsed="false">
      <c r="A70" s="33" t="s">
        <v>290</v>
      </c>
      <c r="B70" s="39" t="n">
        <f aca="false">COUNTIF('Cleaned Data'!$V$2:$V$66,A70)</f>
        <v>20</v>
      </c>
      <c r="C70" s="39" t="n">
        <f aca="false">COUNTIFS('Cleaned Data'!$V$2:$V$66,A70,'Cleaned Data'!$I$2:$I$66,"Yes")</f>
        <v>18</v>
      </c>
      <c r="D70" s="34" t="n">
        <f aca="false">IFERROR(AVERAGEIFS('Cleaned Data'!$J$2:$J$66,'Cleaned Data'!$V$2:$V$66,A70),"")</f>
        <v>69.1291666666667</v>
      </c>
      <c r="E70" s="35" t="n">
        <f aca="false">IFERROR(AVERAGEIFS('Cleaned Data'!$N$2:$N$66,'Cleaned Data'!$V$2:$V$66,A70),"")</f>
        <v>3.4</v>
      </c>
      <c r="F70" s="35" t="n">
        <f aca="false">IFERROR(AVERAGEIFS('Cleaned Data'!$M$2:$M$66,'Cleaned Data'!$V$2:$V$66,A70),"")</f>
        <v>3.4</v>
      </c>
    </row>
    <row r="71" customFormat="false" ht="15" hidden="false" customHeight="true" outlineLevel="0" collapsed="false">
      <c r="A71" s="33" t="s">
        <v>291</v>
      </c>
      <c r="B71" s="39" t="n">
        <f aca="false">COUNTIF('Cleaned Data'!$V$2:$V$66,A71)</f>
        <v>26</v>
      </c>
      <c r="C71" s="39" t="n">
        <f aca="false">COUNTIFS('Cleaned Data'!$V$2:$V$66,A71,'Cleaned Data'!$I$2:$I$66,"Yes")</f>
        <v>25</v>
      </c>
      <c r="D71" s="34" t="n">
        <f aca="false">IFERROR(AVERAGEIFS('Cleaned Data'!$J$2:$J$66,'Cleaned Data'!$V$2:$V$66,A71),"")</f>
        <v>74.3012</v>
      </c>
      <c r="E71" s="35" t="n">
        <f aca="false">IFERROR(AVERAGEIFS('Cleaned Data'!$N$2:$N$66,'Cleaned Data'!$V$2:$V$66,A71),"")</f>
        <v>3.80769230769231</v>
      </c>
      <c r="F71" s="35" t="n">
        <f aca="false">IFERROR(AVERAGEIFS('Cleaned Data'!$M$2:$M$66,'Cleaned Data'!$V$2:$V$66,A71),"")</f>
        <v>3.38461538461538</v>
      </c>
    </row>
    <row r="72" customFormat="false" ht="15" hidden="false" customHeight="true" outlineLevel="0" collapsed="false">
      <c r="A72" s="33" t="s">
        <v>292</v>
      </c>
      <c r="B72" s="39" t="n">
        <f aca="false">COUNTIF('Cleaned Data'!$V$2:$V$66,A72)</f>
        <v>19</v>
      </c>
      <c r="C72" s="39" t="n">
        <f aca="false">COUNTIFS('Cleaned Data'!$V$2:$V$66,A72,'Cleaned Data'!$I$2:$I$66,"Yes")</f>
        <v>19</v>
      </c>
      <c r="D72" s="34" t="n">
        <f aca="false">IFERROR(AVERAGEIFS('Cleaned Data'!$J$2:$J$66,'Cleaned Data'!$V$2:$V$66,A72),"")</f>
        <v>68.5315789473684</v>
      </c>
      <c r="E72" s="35" t="n">
        <f aca="false">IFERROR(AVERAGEIFS('Cleaned Data'!$N$2:$N$66,'Cleaned Data'!$V$2:$V$66,A72),"")</f>
        <v>4.83333333333333</v>
      </c>
      <c r="F72" s="35" t="n">
        <f aca="false">IFERROR(AVERAGEIFS('Cleaned Data'!$M$2:$M$66,'Cleaned Data'!$V$2:$V$66,A72),"")</f>
        <v>4.31578947368421</v>
      </c>
    </row>
    <row r="75" customFormat="false" ht="15" hidden="false" customHeight="true" outlineLevel="0" collapsed="false">
      <c r="A75" s="36" t="s">
        <v>293</v>
      </c>
    </row>
    <row r="76" customFormat="false" ht="31.5" hidden="false" customHeight="true" outlineLevel="0" collapsed="false">
      <c r="A76" s="38" t="s">
        <v>294</v>
      </c>
      <c r="B76" s="38" t="s">
        <v>295</v>
      </c>
      <c r="C76" s="38" t="s">
        <v>296</v>
      </c>
      <c r="D76" s="20" t="s">
        <v>297</v>
      </c>
      <c r="E76" s="20" t="s">
        <v>298</v>
      </c>
    </row>
    <row r="77" customFormat="false" ht="15" hidden="false" customHeight="true" outlineLevel="0" collapsed="false">
      <c r="A77" s="33" t="s">
        <v>299</v>
      </c>
      <c r="B77" s="35" t="n">
        <f aca="false">CORREL('Cleaned Data'!$J$2:$J$66,'Cleaned Data'!$L$2:$L$66)</f>
        <v>0.245551964394179</v>
      </c>
      <c r="C77" s="32" t="str">
        <f aca="false">IF(ABS(B77)&lt;0.2,"Very weak",IF(ABS(B77)&lt;0.4,"Weak",IF(ABS(B77)&lt;0.6,"Moderate","Strong")))</f>
        <v>Weak</v>
      </c>
      <c r="D77" s="41" t="n">
        <f aca="false">ABS(B77)</f>
        <v>0.245551964394179</v>
      </c>
      <c r="E77" s="45" t="n">
        <f aca="false">RANK(D77,$D$77:$D$86)</f>
        <v>1</v>
      </c>
    </row>
    <row r="78" customFormat="false" ht="15" hidden="false" customHeight="true" outlineLevel="0" collapsed="false">
      <c r="A78" s="33" t="s">
        <v>300</v>
      </c>
      <c r="B78" s="35" t="n">
        <f aca="false">CORREL('Cleaned Data'!$J$2:$J$66,'Cleaned Data'!$U$2:$U$66)</f>
        <v>-0.0745689987721862</v>
      </c>
      <c r="C78" s="32" t="str">
        <f aca="false">IF(ABS(B78)&lt;0.2,"Very weak",IF(ABS(B78)&lt;0.4,"Weak",IF(ABS(B78)&lt;0.6,"Moderate","Strong")))</f>
        <v>Very weak</v>
      </c>
      <c r="D78" s="41" t="n">
        <f aca="false">ABS(B78)</f>
        <v>0.0745689987721862</v>
      </c>
      <c r="E78" s="45" t="n">
        <f aca="false">RANK(D78,$D$77:$D$86)</f>
        <v>6</v>
      </c>
    </row>
    <row r="79" customFormat="false" ht="15" hidden="false" customHeight="true" outlineLevel="0" collapsed="false">
      <c r="A79" s="33" t="s">
        <v>199</v>
      </c>
      <c r="B79" s="35" t="n">
        <f aca="false">CORREL('Cleaned Data'!$J$2:$J$66,'Cleaned Data'!$O$2:$O$66)</f>
        <v>-0.00234431651425421</v>
      </c>
      <c r="C79" s="32" t="str">
        <f aca="false">IF(ABS(B79)&lt;0.2,"Very weak",IF(ABS(B79)&lt;0.4,"Weak",IF(ABS(B79)&lt;0.6,"Moderate","Strong")))</f>
        <v>Very weak</v>
      </c>
      <c r="D79" s="41" t="n">
        <f aca="false">ABS(B79)</f>
        <v>0.00234431651425421</v>
      </c>
      <c r="E79" s="45" t="n">
        <f aca="false">RANK(D79,$D$77:$D$86)</f>
        <v>10</v>
      </c>
    </row>
    <row r="80" customFormat="false" ht="15" hidden="false" customHeight="true" outlineLevel="0" collapsed="false">
      <c r="A80" s="33" t="s">
        <v>201</v>
      </c>
      <c r="B80" s="35" t="n">
        <f aca="false">CORREL('Cleaned Data'!$J$2:$J$66,'Cleaned Data'!$Q$2:$Q$66)</f>
        <v>-0.139561595659641</v>
      </c>
      <c r="C80" s="32" t="str">
        <f aca="false">IF(ABS(B80)&lt;0.2,"Very weak",IF(ABS(B80)&lt;0.4,"Weak",IF(ABS(B80)&lt;0.6,"Moderate","Strong")))</f>
        <v>Very weak</v>
      </c>
      <c r="D80" s="41" t="n">
        <f aca="false">ABS(B80)</f>
        <v>0.139561595659641</v>
      </c>
      <c r="E80" s="45" t="n">
        <f aca="false">RANK(D80,$D$77:$D$86)</f>
        <v>2</v>
      </c>
    </row>
    <row r="81" customFormat="false" ht="15" hidden="false" customHeight="true" outlineLevel="0" collapsed="false">
      <c r="A81" s="33" t="s">
        <v>265</v>
      </c>
      <c r="B81" s="35" t="n">
        <f aca="false">CORREL('Cleaned Data'!$J$2:$J$66,'Cleaned Data'!$R$2:$R$66)</f>
        <v>-0.0629962105198258</v>
      </c>
      <c r="C81" s="32" t="str">
        <f aca="false">IF(ABS(B81)&lt;0.2,"Very weak",IF(ABS(B81)&lt;0.4,"Weak",IF(ABS(B81)&lt;0.6,"Moderate","Strong")))</f>
        <v>Very weak</v>
      </c>
      <c r="D81" s="41" t="n">
        <f aca="false">ABS(B81)</f>
        <v>0.0629962105198258</v>
      </c>
      <c r="E81" s="45" t="n">
        <f aca="false">RANK(D81,$D$77:$D$86)</f>
        <v>8</v>
      </c>
    </row>
    <row r="82" customFormat="false" ht="15" hidden="false" customHeight="true" outlineLevel="0" collapsed="false">
      <c r="A82" s="33" t="s">
        <v>203</v>
      </c>
      <c r="B82" s="35" t="n">
        <f aca="false">CORREL('Cleaned Data'!$J$2:$J$66,'Cleaned Data'!$S$2:$S$66)</f>
        <v>-0.0355537209084293</v>
      </c>
      <c r="C82" s="32" t="str">
        <f aca="false">IF(ABS(B82)&lt;0.2,"Very weak",IF(ABS(B82)&lt;0.4,"Weak",IF(ABS(B82)&lt;0.6,"Moderate","Strong")))</f>
        <v>Very weak</v>
      </c>
      <c r="D82" s="41" t="n">
        <f aca="false">ABS(B82)</f>
        <v>0.0355537209084293</v>
      </c>
      <c r="E82" s="45" t="n">
        <f aca="false">RANK(D82,$D$77:$D$86)</f>
        <v>9</v>
      </c>
    </row>
    <row r="83" customFormat="false" ht="15" hidden="false" customHeight="true" outlineLevel="0" collapsed="false">
      <c r="A83" s="33" t="s">
        <v>200</v>
      </c>
      <c r="B83" s="35" t="n">
        <f aca="false">CORREL('Cleaned Data'!$J$2:$J$66,'Cleaned Data'!$P$2:$P$66)</f>
        <v>0.089113883032573</v>
      </c>
      <c r="C83" s="32" t="str">
        <f aca="false">IF(ABS(B83)&lt;0.2,"Very weak",IF(ABS(B83)&lt;0.4,"Weak",IF(ABS(B83)&lt;0.6,"Moderate","Strong")))</f>
        <v>Very weak</v>
      </c>
      <c r="D83" s="41" t="n">
        <f aca="false">ABS(B83)</f>
        <v>0.089113883032573</v>
      </c>
      <c r="E83" s="45" t="n">
        <f aca="false">RANK(D83,$D$77:$D$86)</f>
        <v>4</v>
      </c>
    </row>
    <row r="84" customFormat="false" ht="15" hidden="false" customHeight="true" outlineLevel="0" collapsed="false">
      <c r="A84" s="33" t="s">
        <v>198</v>
      </c>
      <c r="B84" s="35" t="n">
        <f aca="false">CORREL('Cleaned Data'!$J$2:$J$66,'Cleaned Data'!$N$2:$N$66)</f>
        <v>0.0673503099832476</v>
      </c>
      <c r="C84" s="32" t="str">
        <f aca="false">IF(ABS(B84)&lt;0.2,"Very weak",IF(ABS(B84)&lt;0.4,"Weak",IF(ABS(B84)&lt;0.6,"Moderate","Strong")))</f>
        <v>Very weak</v>
      </c>
      <c r="D84" s="41" t="n">
        <f aca="false">ABS(B84)</f>
        <v>0.0673503099832476</v>
      </c>
      <c r="E84" s="45" t="n">
        <f aca="false">RANK(D84,$D$77:$D$86)</f>
        <v>7</v>
      </c>
    </row>
    <row r="85" customFormat="false" ht="15" hidden="false" customHeight="true" outlineLevel="0" collapsed="false">
      <c r="A85" s="33" t="s">
        <v>197</v>
      </c>
      <c r="B85" s="35" t="n">
        <f aca="false">CORREL('Cleaned Data'!$J$2:$J$66,'Cleaned Data'!$M$2:$M$66)</f>
        <v>-0.105712116682074</v>
      </c>
      <c r="C85" s="32" t="str">
        <f aca="false">IF(ABS(B85)&lt;0.2,"Very weak",IF(ABS(B85)&lt;0.4,"Weak",IF(ABS(B85)&lt;0.6,"Moderate","Strong")))</f>
        <v>Very weak</v>
      </c>
      <c r="D85" s="41" t="n">
        <f aca="false">ABS(B85)</f>
        <v>0.105712116682074</v>
      </c>
      <c r="E85" s="45" t="n">
        <f aca="false">RANK(D85,$D$77:$D$86)</f>
        <v>3</v>
      </c>
    </row>
    <row r="86" customFormat="false" ht="15" hidden="false" customHeight="true" outlineLevel="0" collapsed="false">
      <c r="A86" s="33" t="s">
        <v>301</v>
      </c>
      <c r="B86" s="35" t="n">
        <f aca="false">CORREL('Cleaned Data'!$J$2:$J$66,'Cleaned Data'!$T$2:$T$66)</f>
        <v>-0.0875273537816877</v>
      </c>
      <c r="C86" s="32" t="str">
        <f aca="false">IF(ABS(B86)&lt;0.2,"Very weak",IF(ABS(B86)&lt;0.4,"Weak",IF(ABS(B86)&lt;0.6,"Moderate","Strong")))</f>
        <v>Very weak</v>
      </c>
      <c r="D86" s="41" t="n">
        <f aca="false">ABS(B86)</f>
        <v>0.0875273537816877</v>
      </c>
      <c r="E86" s="45" t="n">
        <f aca="false">RANK(D86,$D$77:$D$86)</f>
        <v>5</v>
      </c>
    </row>
    <row r="90" customFormat="false" ht="31.5" hidden="false" customHeight="true" outlineLevel="0" collapsed="false">
      <c r="A90" s="38" t="s">
        <v>302</v>
      </c>
      <c r="B90" s="38" t="s">
        <v>295</v>
      </c>
      <c r="C90" s="38" t="s">
        <v>296</v>
      </c>
    </row>
    <row r="91" customFormat="false" ht="15" hidden="false" customHeight="true" outlineLevel="0" collapsed="false">
      <c r="A91" s="33" t="s">
        <v>303</v>
      </c>
      <c r="B91" s="35" t="n">
        <f aca="false">CORREL('Cleaned Data'!$U$2:$U$66,'Cleaned Data'!$N$2:$N$66)</f>
        <v>0.542341897811713</v>
      </c>
      <c r="C91" s="32" t="str">
        <f aca="false">IF(ABS(B91)&lt;0.2,"Very weak",IF(ABS(B91)&lt;0.4,"Weak",IF(ABS(B91)&lt;0.6,"Moderate","Strong")))</f>
        <v>Moderate</v>
      </c>
    </row>
    <row r="92" customFormat="false" ht="15" hidden="false" customHeight="true" outlineLevel="0" collapsed="false">
      <c r="A92" s="33" t="s">
        <v>304</v>
      </c>
      <c r="B92" s="35" t="n">
        <f aca="false">CORREL('Cleaned Data'!$U$2:$U$66,'Cleaned Data'!$M$2:$M$66)</f>
        <v>0.331847761667888</v>
      </c>
      <c r="C92" s="32" t="str">
        <f aca="false">IF(ABS(B92)&lt;0.2,"Very weak",IF(ABS(B92)&lt;0.4,"Weak",IF(ABS(B92)&lt;0.6,"Moderate","Strong")))</f>
        <v>Weak</v>
      </c>
    </row>
    <row r="93" customFormat="false" ht="15" hidden="false" customHeight="true" outlineLevel="0" collapsed="false">
      <c r="A93" s="33" t="s">
        <v>305</v>
      </c>
      <c r="B93" s="35" t="n">
        <f aca="false">CORREL('Cleaned Data'!$N$2:$N$66,'Cleaned Data'!$M$2:$M$66)</f>
        <v>0.32495702502293</v>
      </c>
      <c r="C93" s="32" t="str">
        <f aca="false">IF(ABS(B93)&lt;0.2,"Very weak",IF(ABS(B93)&lt;0.4,"Weak",IF(ABS(B93)&lt;0.6,"Moderate","Strong")))</f>
        <v>Weak</v>
      </c>
    </row>
    <row r="95" customFormat="false" ht="15" hidden="false" customHeight="true" outlineLevel="0" collapsed="false">
      <c r="A95" s="30" t="s">
        <v>306</v>
      </c>
    </row>
    <row r="98" customFormat="false" ht="15" hidden="false" customHeight="true" outlineLevel="0" collapsed="false">
      <c r="A98" s="36" t="s">
        <v>307</v>
      </c>
    </row>
    <row r="99" customFormat="false" ht="31.5" hidden="false" customHeight="true" outlineLevel="0" collapsed="false">
      <c r="A99" s="38" t="s">
        <v>189</v>
      </c>
      <c r="B99" s="38" t="s">
        <v>273</v>
      </c>
    </row>
    <row r="100" customFormat="false" ht="15" hidden="false" customHeight="true" outlineLevel="0" collapsed="false">
      <c r="A100" s="33" t="s">
        <v>122</v>
      </c>
      <c r="B100" s="39" t="n">
        <f aca="false">COUNTIF('Cleaned Data'!$E$2:$E$66,A100)</f>
        <v>8</v>
      </c>
    </row>
    <row r="101" customFormat="false" ht="15" hidden="false" customHeight="true" outlineLevel="0" collapsed="false">
      <c r="A101" s="33" t="s">
        <v>106</v>
      </c>
      <c r="B101" s="39" t="n">
        <f aca="false">COUNTIF('Cleaned Data'!$E$2:$E$66,A101)</f>
        <v>8</v>
      </c>
    </row>
    <row r="102" customFormat="false" ht="15" hidden="false" customHeight="true" outlineLevel="0" collapsed="false">
      <c r="A102" s="33" t="s">
        <v>208</v>
      </c>
      <c r="B102" s="39" t="n">
        <f aca="false">COUNTIF('Cleaned Data'!$E$2:$E$66,A102)</f>
        <v>7</v>
      </c>
    </row>
    <row r="103" customFormat="false" ht="15" hidden="false" customHeight="true" outlineLevel="0" collapsed="false">
      <c r="A103" s="33" t="s">
        <v>98</v>
      </c>
      <c r="B103" s="39" t="n">
        <f aca="false">COUNTIF('Cleaned Data'!$E$2:$E$66,A103)</f>
        <v>3</v>
      </c>
    </row>
    <row r="104" customFormat="false" ht="15" hidden="false" customHeight="true" outlineLevel="0" collapsed="false">
      <c r="A104" s="33" t="s">
        <v>138</v>
      </c>
      <c r="B104" s="39" t="n">
        <f aca="false">COUNTIF('Cleaned Data'!$E$2:$E$66,A104)</f>
        <v>2</v>
      </c>
    </row>
    <row r="105" customFormat="false" ht="15" hidden="false" customHeight="true" outlineLevel="0" collapsed="false">
      <c r="A105" s="33" t="s">
        <v>116</v>
      </c>
      <c r="B105" s="39" t="n">
        <f aca="false">COUNTIF('Cleaned Data'!$E$2:$E$66,A105)</f>
        <v>2</v>
      </c>
    </row>
    <row r="106" customFormat="false" ht="15" hidden="false" customHeight="true" outlineLevel="0" collapsed="false">
      <c r="A106" s="33" t="s">
        <v>118</v>
      </c>
      <c r="B106" s="39" t="n">
        <f aca="false">COUNTIF('Cleaned Data'!$E$2:$E$66,A106)</f>
        <v>2</v>
      </c>
    </row>
    <row r="107" customFormat="false" ht="15" hidden="false" customHeight="true" outlineLevel="0" collapsed="false">
      <c r="A107" s="33" t="s">
        <v>157</v>
      </c>
      <c r="B107" s="39" t="n">
        <f aca="false">COUNTIF('Cleaned Data'!$E$2:$E$66,A107)</f>
        <v>2</v>
      </c>
    </row>
    <row r="110" customFormat="false" ht="15" hidden="false" customHeight="false" outlineLevel="0" collapsed="false">
      <c r="A110" s="37" t="s">
        <v>308</v>
      </c>
    </row>
    <row r="111" customFormat="false" ht="42" hidden="false" customHeight="true" outlineLevel="0" collapsed="false">
      <c r="A111" s="5" t="str">
        <f aca="false">"1. Performance: marks were spread out. The average was "&amp;TEXT(B8,"0.0")&amp;"% and the middle 50% of students scored between "&amp;TEXT(B13,"0")&amp;"% and "&amp;TEXT(B14,"0")&amp;"%."</f>
        <v>1. Performance: marks were spread out. The average was 71.0% and the middle 50% of students scored between 64% and 78%.</v>
      </c>
      <c r="B111" s="5"/>
      <c r="C111" s="5"/>
      <c r="D111" s="5"/>
      <c r="E111" s="5"/>
      <c r="F111" s="5"/>
    </row>
    <row r="112" customFormat="false" ht="42" hidden="false" customHeight="true" outlineLevel="0" collapsed="false">
      <c r="A112" s="5" t="str">
        <f aca="false">"2. Attendance: students attending 71-80% of classes averaged "&amp;TEXT(D63,"0.0")&amp;"%, against "&amp;TEXT(D60,"0.0")&amp;"% for those below 50%. It is a "&amp;LOWER(C77)&amp;" link (r = "&amp;TEXT(B77,"0.00")&amp;") and not a steady climb, since the 81-90% group averaged "&amp;TEXT(D64,"0.0")&amp;"%."</f>
        <v>2. Attendance: students attending 71-80% of classes averaged 77.6%, against 64.1% for those below 50%. It is a weak link (r = 0.25) and not a steady climb, since the 81-90% group averaged 69.8%.</v>
      </c>
      <c r="B112" s="5"/>
      <c r="C112" s="5"/>
      <c r="D112" s="5"/>
      <c r="E112" s="5"/>
      <c r="F112" s="5"/>
    </row>
    <row r="113" customFormat="false" ht="42" hidden="false" customHeight="true" outlineLevel="0" collapsed="false">
      <c r="A113" s="5" t="str">
        <f aca="false">"3. Study habits: a higher habit index did not go with higher marks here (r = "&amp;TEXT(B78,"0.00")&amp;"). It did go with higher confidence (r = "&amp;TEXT(B91,"0.00")&amp;"), so feeling organised and scoring well are two different things."</f>
        <v>3. Study habits: a higher habit index did not go with higher marks here (r = -0.07). It did go with higher confidence (r = 0.54), so feeling organised and scoring well are two different things.</v>
      </c>
      <c r="B113" s="5"/>
      <c r="C113" s="5"/>
      <c r="D113" s="5"/>
      <c r="E113" s="5"/>
      <c r="F113" s="5"/>
    </row>
    <row r="114" customFormat="false" ht="42" hidden="false" customHeight="true" outlineLevel="0" collapsed="false">
      <c r="A114" s="5" t="str">
        <f aca="false">"4. Self-ratings: students trust their understanding most ("&amp;TEXT(B20,"0.00")&amp;" / 6) and struggle most with a consistent routine ("&amp;TEXT(B27,"0.00")&amp;" / 6)."</f>
        <v>4. Self-ratings: students trust their understanding most (4.25 / 6) and struggle most with a consistent routine (3.58 / 6).</v>
      </c>
      <c r="B114" s="5"/>
      <c r="C114" s="5"/>
      <c r="D114" s="5"/>
      <c r="E114" s="5"/>
      <c r="F114" s="5"/>
    </row>
    <row r="115" customFormat="false" ht="42" hidden="false" customHeight="true" outlineLevel="0" collapsed="false">
      <c r="A115" s="5" t="str">
        <f aca="false">"5. Institution: Government-aided students averaged "&amp;TEXT(D34,"0.0")&amp;"%, ahead of Private ("&amp;TEXT(D32,"0.0")&amp;"%) and Government ("&amp;TEXT(D33,"0.0")&amp;"%), but with only "&amp;C34&amp;" scored students in that group, do not read too much into it."</f>
        <v>5. Institution: Government-aided students averaged 79.1%, ahead of Private (69.2%) and Government (67.5%), but with only 12 scored students in that group, do not read too much into it.</v>
      </c>
      <c r="B115" s="5"/>
      <c r="C115" s="5"/>
      <c r="D115" s="5"/>
      <c r="E115" s="5"/>
      <c r="F115" s="5"/>
    </row>
    <row r="116" customFormat="false" ht="30" hidden="false" customHeight="true" outlineLevel="0" collapsed="false">
      <c r="A116" s="15" t="s">
        <v>309</v>
      </c>
      <c r="B116" s="15"/>
      <c r="C116" s="15"/>
      <c r="D116" s="15"/>
      <c r="E116" s="15"/>
      <c r="F116" s="15"/>
    </row>
    <row r="118" customFormat="false" ht="15" hidden="false" customHeight="false" outlineLevel="0" collapsed="false">
      <c r="A118" s="37" t="s">
        <v>310</v>
      </c>
    </row>
    <row r="119" customFormat="false" ht="15" hidden="false" customHeight="true" outlineLevel="0" collapsed="false">
      <c r="A119" s="31" t="s">
        <v>311</v>
      </c>
      <c r="B119" s="31" t="s">
        <v>312</v>
      </c>
      <c r="C119" s="31"/>
      <c r="D119" s="31" t="s">
        <v>313</v>
      </c>
      <c r="E119" s="31"/>
      <c r="F119" s="31"/>
    </row>
    <row r="120" customFormat="false" ht="43.5" hidden="false" customHeight="true" outlineLevel="0" collapsed="false">
      <c r="A120" s="12" t="s">
        <v>314</v>
      </c>
      <c r="B120" s="13" t="s">
        <v>315</v>
      </c>
      <c r="C120" s="13"/>
      <c r="D120" s="13" t="str">
        <f aca="false">"r = "&amp;TEXT(B77,"0.00")&amp;" ("&amp;LOWER(C77)&amp;IF(B77&gt;=0," positive"," negative")&amp;" link). 71-80% attendance averaged "&amp;TEXT(D63,"0.0")&amp;"% vs "&amp;TEXT(D60,"0.0")&amp;"% below 50%."</f>
        <v>r = 0.25 (weak positive link). 71-80% attendance averaged 77.6% vs 64.1% below 50%.</v>
      </c>
      <c r="E120" s="13"/>
      <c r="F120" s="13"/>
    </row>
    <row r="121" customFormat="false" ht="43.5" hidden="false" customHeight="true" outlineLevel="0" collapsed="false">
      <c r="A121" s="12" t="s">
        <v>316</v>
      </c>
      <c r="B121" s="13" t="s">
        <v>317</v>
      </c>
      <c r="C121" s="13"/>
      <c r="D121" s="13" t="str">
        <f aca="false">"Habit Index vs score: r = "&amp;TEXT(B78,"0.00")&amp;" ("&amp;LOWER(C78)&amp;"). Low / Medium / High habit groups averaged "&amp;TEXT(D70,"0.0")&amp;"% / "&amp;TEXT(D71,"0.0")&amp;"% / "&amp;TEXT(D72,"0.0")&amp;"%."</f>
        <v>Habit Index vs score: r = -0.07 (very weak). Low / Medium / High habit groups averaged 69.1% / 74.3% / 68.5%.</v>
      </c>
      <c r="E121" s="13"/>
      <c r="F121" s="13"/>
    </row>
    <row r="122" customFormat="false" ht="43.5" hidden="false" customHeight="true" outlineLevel="0" collapsed="false">
      <c r="A122" s="12" t="s">
        <v>318</v>
      </c>
      <c r="B122" s="13" t="s">
        <v>319</v>
      </c>
      <c r="C122" s="13"/>
      <c r="D122" s="13" t="str">
        <f aca="false">"Highest: "&amp;INDEX(A41:A47,MATCH(MAX(D41:D47),D41:D47,0))&amp;" ("&amp;TEXT(MAX(D41:D47),"0.0")&amp;"%). Lowest: "&amp;INDEX(A41:A47,MATCH(MIN(D41:D47),D41:D47,0))&amp;" ("&amp;TEXT(MIN(D41:D47),"0.0")&amp;"%). Field groups are small."</f>
        <v>Highest: Computer Science/IT (75.3%). Lowest: Engineering (62.9%). Field groups are small.</v>
      </c>
      <c r="E122" s="13"/>
      <c r="F122" s="13"/>
    </row>
    <row r="123" customFormat="false" ht="43.5" hidden="false" customHeight="true" outlineLevel="0" collapsed="false">
      <c r="A123" s="12" t="s">
        <v>320</v>
      </c>
      <c r="B123" s="13" t="s">
        <v>321</v>
      </c>
      <c r="C123" s="13"/>
      <c r="D123" s="13" t="str">
        <f aca="false">"Government-aided "&amp;TEXT(D34,"0.0")&amp;"%, Private "&amp;TEXT(D32,"0.0")&amp;"%, Government "&amp;TEXT(D33,"0.0")&amp;"%. Non-profit (1 student) not compared."</f>
        <v>Government-aided 79.1%, Private 69.2%, Government 67.5%. Non-profit (1 student) not compared.</v>
      </c>
      <c r="E123" s="13"/>
      <c r="F123" s="13"/>
    </row>
    <row r="124" customFormat="false" ht="43.5" hidden="false" customHeight="true" outlineLevel="0" collapsed="false">
      <c r="A124" s="12" t="s">
        <v>322</v>
      </c>
      <c r="B124" s="13" t="s">
        <v>323</v>
      </c>
      <c r="C124" s="13"/>
      <c r="D124" s="13" t="str">
        <f aca="false">"Strongest link: "&amp;INDEX(A77:A86,MATCH(MAX(D77:D86),D77:D86,0))&amp;" (r = "&amp;TEXT(INDEX(B77:B86,MATCH(MAX(D77:D86),D77:D86,0)),"0.00")&amp;"). Every other factor is weaker."</f>
        <v>Strongest link: Attendance (band midpoint) (r = 0.25). Every other factor is weaker.</v>
      </c>
      <c r="E124" s="13"/>
      <c r="F124" s="13"/>
    </row>
    <row r="127" customFormat="false" ht="15" hidden="false" customHeight="false" outlineLevel="0" collapsed="false">
      <c r="A127" s="37" t="s">
        <v>324</v>
      </c>
    </row>
    <row r="128" customFormat="false" ht="30" hidden="false" customHeight="true" outlineLevel="0" collapsed="false">
      <c r="A128" s="5" t="str">
        <f aca="false">"1. Identify students with low attendance (60% or below) and below-median scores for academic support. "&amp;COUNTIFS('Cleaned Data'!$L$2:$L$66,"&lt;=55",'Cleaned Data'!$J$2:$J$66,"&lt;"&amp;$B$9)&amp;" students in this sample fit that profile."</f>
        <v>1. Identify students with low attendance (60% or below) and below-median scores for academic support. 10 students in this sample fit that profile.</v>
      </c>
      <c r="B128" s="5"/>
      <c r="C128" s="5"/>
      <c r="D128" s="5"/>
      <c r="E128" s="5"/>
      <c r="F128" s="5"/>
    </row>
    <row r="129" customFormat="false" ht="19.5" hidden="false" customHeight="true" outlineLevel="0" collapsed="false">
      <c r="A129" s="5" t="s">
        <v>325</v>
      </c>
      <c r="B129" s="5"/>
      <c r="C129" s="5"/>
      <c r="D129" s="5"/>
      <c r="E129" s="5"/>
      <c r="F129" s="5"/>
    </row>
    <row r="130" customFormat="false" ht="19.5" hidden="false" customHeight="true" outlineLevel="0" collapsed="false">
      <c r="A130" s="5" t="s">
        <v>326</v>
      </c>
      <c r="B130" s="5"/>
      <c r="C130" s="5"/>
      <c r="D130" s="5"/>
      <c r="E130" s="5"/>
      <c r="F130" s="5"/>
    </row>
    <row r="131" customFormat="false" ht="19.5" hidden="false" customHeight="true" outlineLevel="0" collapsed="false">
      <c r="A131" s="5" t="s">
        <v>327</v>
      </c>
      <c r="B131" s="5"/>
      <c r="C131" s="5"/>
      <c r="D131" s="5"/>
      <c r="E131" s="5"/>
      <c r="F131" s="5"/>
    </row>
    <row r="132" customFormat="false" ht="19.5" hidden="false" customHeight="true" outlineLevel="0" collapsed="false">
      <c r="A132" s="5" t="s">
        <v>328</v>
      </c>
      <c r="B132" s="5"/>
      <c r="C132" s="5"/>
      <c r="D132" s="5"/>
      <c r="E132" s="5"/>
      <c r="F132" s="5"/>
    </row>
    <row r="133" customFormat="false" ht="15" hidden="false" customHeight="false" outlineLevel="0" collapsed="false">
      <c r="A133" s="46" t="s">
        <v>329</v>
      </c>
    </row>
  </sheetData>
  <mergeCells count="23">
    <mergeCell ref="A111:F111"/>
    <mergeCell ref="A112:F112"/>
    <mergeCell ref="A113:F113"/>
    <mergeCell ref="A114:F114"/>
    <mergeCell ref="A115:F115"/>
    <mergeCell ref="A116:F116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A128:F128"/>
    <mergeCell ref="A129:F129"/>
    <mergeCell ref="A130:F130"/>
    <mergeCell ref="A131:F131"/>
    <mergeCell ref="A132:F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Q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9.51"/>
    <col collapsed="false" customWidth="true" hidden="false" outlineLevel="0" max="18" min="18" style="0" width="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B3" s="3" t="s">
        <v>330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customFormat="false" ht="18" hidden="false" customHeight="true" outlineLevel="0" collapsed="false">
      <c r="B5" s="47" t="s">
        <v>331</v>
      </c>
      <c r="C5" s="47"/>
      <c r="D5" s="47"/>
      <c r="E5" s="47"/>
      <c r="F5" s="47" t="s">
        <v>332</v>
      </c>
      <c r="G5" s="47"/>
      <c r="H5" s="47"/>
      <c r="I5" s="47"/>
      <c r="J5" s="47" t="s">
        <v>333</v>
      </c>
      <c r="K5" s="47"/>
      <c r="L5" s="47"/>
      <c r="M5" s="47"/>
      <c r="N5" s="47" t="s">
        <v>334</v>
      </c>
      <c r="O5" s="47"/>
      <c r="P5" s="47"/>
      <c r="Q5" s="47"/>
    </row>
    <row r="6" customFormat="false" ht="19.5" hidden="false" customHeight="true" outlineLevel="0" collapsed="false">
      <c r="B6" s="48" t="n">
        <f aca="false">Analysis!B5</f>
        <v>65</v>
      </c>
      <c r="C6" s="48"/>
      <c r="D6" s="48"/>
      <c r="E6" s="48"/>
      <c r="F6" s="49" t="n">
        <f aca="false">Analysis!B8</f>
        <v>71.0315322580645</v>
      </c>
      <c r="G6" s="49"/>
      <c r="H6" s="49"/>
      <c r="I6" s="49"/>
      <c r="J6" s="49" t="n">
        <f aca="false">Analysis!B9</f>
        <v>70</v>
      </c>
      <c r="K6" s="49"/>
      <c r="L6" s="49"/>
      <c r="M6" s="49"/>
      <c r="N6" s="50" t="n">
        <f aca="false">Analysis!B16</f>
        <v>3.91538461538462</v>
      </c>
      <c r="O6" s="50"/>
      <c r="P6" s="50"/>
      <c r="Q6" s="50"/>
    </row>
    <row r="7" customFormat="false" ht="19.5" hidden="false" customHeight="true" outlineLevel="0" collapsed="false">
      <c r="B7" s="48"/>
      <c r="C7" s="48"/>
      <c r="D7" s="48"/>
      <c r="E7" s="48"/>
      <c r="F7" s="49"/>
      <c r="G7" s="49"/>
      <c r="H7" s="49"/>
      <c r="I7" s="49"/>
      <c r="J7" s="49"/>
      <c r="K7" s="49"/>
      <c r="L7" s="49"/>
      <c r="M7" s="49"/>
      <c r="N7" s="50"/>
      <c r="O7" s="50"/>
      <c r="P7" s="50"/>
      <c r="Q7" s="50"/>
    </row>
    <row r="8" customFormat="false" ht="25.5" hidden="false" customHeight="true" outlineLevel="0" collapsed="false">
      <c r="B8" s="51" t="s">
        <v>335</v>
      </c>
      <c r="C8" s="51"/>
      <c r="D8" s="51"/>
      <c r="E8" s="51"/>
      <c r="F8" s="51" t="s">
        <v>336</v>
      </c>
      <c r="G8" s="51"/>
      <c r="H8" s="51"/>
      <c r="I8" s="51"/>
      <c r="J8" s="51" t="s">
        <v>337</v>
      </c>
      <c r="K8" s="51"/>
      <c r="L8" s="51"/>
      <c r="M8" s="51"/>
      <c r="N8" s="51" t="s">
        <v>338</v>
      </c>
      <c r="O8" s="51"/>
      <c r="P8" s="51"/>
      <c r="Q8" s="51"/>
    </row>
    <row r="10" customFormat="false" ht="21.75" hidden="false" customHeight="true" outlineLevel="0" collapsed="false">
      <c r="B10" s="52" t="s">
        <v>339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49" customFormat="false" ht="17.35" hidden="false" customHeight="false" outlineLevel="0" collapsed="false">
      <c r="J49" s="52" t="s">
        <v>340</v>
      </c>
      <c r="K49" s="52"/>
      <c r="L49" s="52"/>
      <c r="M49" s="52"/>
      <c r="N49" s="52"/>
      <c r="O49" s="52"/>
      <c r="P49" s="52"/>
      <c r="Q49" s="52"/>
    </row>
    <row r="50" customFormat="false" ht="18" hidden="false" customHeight="true" outlineLevel="0" collapsed="false">
      <c r="J50" s="53" t="s">
        <v>341</v>
      </c>
      <c r="K50" s="53"/>
      <c r="L50" s="53"/>
      <c r="M50" s="53"/>
      <c r="N50" s="53"/>
      <c r="O50" s="53"/>
      <c r="P50" s="53"/>
      <c r="Q50" s="53"/>
    </row>
    <row r="51" customFormat="false" ht="15" hidden="false" customHeight="false" outlineLevel="0" collapsed="false">
      <c r="J51" s="54" t="str">
        <f aca="false">"Average score "&amp;TEXT(Analysis!B8,"0.0")&amp;"%, median "&amp;TEXT(Analysis!B9,"0.0")&amp;"%. The middle 50% of students scored between "&amp;TEXT(Analysis!B13,"0")&amp;"% and "&amp;TEXT(Analysis!B14,"0")&amp;"%."</f>
        <v>Average score 71.0%, median 70.0%. The middle 50% of students scored between 64% and 78%.</v>
      </c>
      <c r="K51" s="54"/>
      <c r="L51" s="54"/>
      <c r="M51" s="54"/>
      <c r="N51" s="54"/>
      <c r="O51" s="54"/>
      <c r="P51" s="54"/>
      <c r="Q51" s="54"/>
    </row>
    <row r="52" customFormat="false" ht="15" hidden="false" customHeight="false" outlineLevel="0" collapsed="false">
      <c r="J52" s="54"/>
      <c r="K52" s="54"/>
      <c r="L52" s="54"/>
      <c r="M52" s="54"/>
      <c r="N52" s="54"/>
      <c r="O52" s="54"/>
      <c r="P52" s="54"/>
      <c r="Q52" s="54"/>
    </row>
    <row r="53" customFormat="false" ht="15" hidden="false" customHeight="false" outlineLevel="0" collapsed="false">
      <c r="J53" s="54"/>
      <c r="K53" s="54"/>
      <c r="L53" s="54"/>
      <c r="M53" s="54"/>
      <c r="N53" s="54"/>
      <c r="O53" s="54"/>
      <c r="P53" s="54"/>
      <c r="Q53" s="54"/>
    </row>
    <row r="55" customFormat="false" ht="18" hidden="false" customHeight="true" outlineLevel="0" collapsed="false">
      <c r="J55" s="53" t="s">
        <v>342</v>
      </c>
      <c r="K55" s="53"/>
      <c r="L55" s="53"/>
      <c r="M55" s="53"/>
      <c r="N55" s="53"/>
      <c r="O55" s="53"/>
      <c r="P55" s="53"/>
      <c r="Q55" s="53"/>
    </row>
    <row r="56" customFormat="false" ht="15" hidden="false" customHeight="false" outlineLevel="0" collapsed="false">
      <c r="J56" s="54" t="str">
        <f aca="false">"Attendance vs marks: r = "&amp;TEXT(Analysis!B77,"0.00")&amp;" ("&amp;LOWER(Analysis!C77)&amp;IF(Analysis!B77&gt;=0," positive","  negative")&amp;" link). The 71-80% group averaged "&amp;TEXT(Analysis!D63,"0.0")&amp;"% vs "&amp;TEXT(Analysis!D60,"0.0")&amp;"% below 50%."</f>
        <v>Attendance vs marks: r = 0.25 (weak positive link). The 71-80% group averaged 77.6% vs 64.1% below 50%.</v>
      </c>
      <c r="K56" s="54"/>
      <c r="L56" s="54"/>
      <c r="M56" s="54"/>
      <c r="N56" s="54"/>
      <c r="O56" s="54"/>
      <c r="P56" s="54"/>
      <c r="Q56" s="54"/>
    </row>
    <row r="57" customFormat="false" ht="15" hidden="false" customHeight="false" outlineLevel="0" collapsed="false">
      <c r="J57" s="54"/>
      <c r="K57" s="54"/>
      <c r="L57" s="54"/>
      <c r="M57" s="54"/>
      <c r="N57" s="54"/>
      <c r="O57" s="54"/>
      <c r="P57" s="54"/>
      <c r="Q57" s="54"/>
    </row>
    <row r="58" customFormat="false" ht="15" hidden="false" customHeight="false" outlineLevel="0" collapsed="false">
      <c r="J58" s="54"/>
      <c r="K58" s="54"/>
      <c r="L58" s="54"/>
      <c r="M58" s="54"/>
      <c r="N58" s="54"/>
      <c r="O58" s="54"/>
      <c r="P58" s="54"/>
      <c r="Q58" s="54"/>
    </row>
    <row r="60" customFormat="false" ht="18" hidden="false" customHeight="true" outlineLevel="0" collapsed="false">
      <c r="J60" s="53" t="s">
        <v>343</v>
      </c>
      <c r="K60" s="53"/>
      <c r="L60" s="53"/>
      <c r="M60" s="53"/>
      <c r="N60" s="53"/>
      <c r="O60" s="53"/>
      <c r="P60" s="53"/>
      <c r="Q60" s="53"/>
    </row>
    <row r="61" customFormat="false" ht="15" hidden="false" customHeight="false" outlineLevel="0" collapsed="false">
      <c r="J61" s="54" t="str">
        <f aca="false">"Habit Index vs marks: r = "&amp;TEXT(Analysis!B78,"0.00")&amp;" ("&amp;LOWER(Analysis!C78)&amp;"). Habits moved with confidence (r = "&amp;TEXT(Analysis!B91,"0.00")&amp;"), not with marks."</f>
        <v>Habit Index vs marks: r = -0.07 (very weak). Habits moved with confidence (r = 0.54), not with marks.</v>
      </c>
      <c r="K61" s="54"/>
      <c r="L61" s="54"/>
      <c r="M61" s="54"/>
      <c r="N61" s="54"/>
      <c r="O61" s="54"/>
      <c r="P61" s="54"/>
      <c r="Q61" s="54"/>
    </row>
    <row r="62" customFormat="false" ht="15" hidden="false" customHeight="false" outlineLevel="0" collapsed="false">
      <c r="J62" s="54"/>
      <c r="K62" s="54"/>
      <c r="L62" s="54"/>
      <c r="M62" s="54"/>
      <c r="N62" s="54"/>
      <c r="O62" s="54"/>
      <c r="P62" s="54"/>
      <c r="Q62" s="54"/>
    </row>
    <row r="63" customFormat="false" ht="15" hidden="false" customHeight="false" outlineLevel="0" collapsed="false">
      <c r="J63" s="54"/>
      <c r="K63" s="54"/>
      <c r="L63" s="54"/>
      <c r="M63" s="54"/>
      <c r="N63" s="54"/>
      <c r="O63" s="54"/>
      <c r="P63" s="54"/>
      <c r="Q63" s="54"/>
    </row>
    <row r="67" customFormat="false" ht="15" hidden="false" customHeight="true" outlineLevel="0" collapsed="false">
      <c r="B67" s="15" t="s">
        <v>344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customFormat="false" ht="15" hidden="false" customHeight="false" outlineLevel="0" collapsed="false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</sheetData>
  <mergeCells count="23">
    <mergeCell ref="B2:Q2"/>
    <mergeCell ref="B3:Q3"/>
    <mergeCell ref="B5:E5"/>
    <mergeCell ref="F5:I5"/>
    <mergeCell ref="J5:M5"/>
    <mergeCell ref="N5:Q5"/>
    <mergeCell ref="B6:E7"/>
    <mergeCell ref="F6:I7"/>
    <mergeCell ref="J6:M7"/>
    <mergeCell ref="N6:Q7"/>
    <mergeCell ref="B8:E8"/>
    <mergeCell ref="F8:I8"/>
    <mergeCell ref="J8:M8"/>
    <mergeCell ref="N8:Q8"/>
    <mergeCell ref="B10:Q10"/>
    <mergeCell ref="J49:Q49"/>
    <mergeCell ref="J50:Q50"/>
    <mergeCell ref="J51:Q53"/>
    <mergeCell ref="J55:Q55"/>
    <mergeCell ref="J56:Q58"/>
    <mergeCell ref="J60:Q60"/>
    <mergeCell ref="J61:Q63"/>
    <mergeCell ref="B67:Q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40"/>
    <col collapsed="false" customWidth="true" hidden="false" outlineLevel="0" max="2" min="2" style="19" width="18"/>
    <col collapsed="false" customWidth="true" hidden="false" outlineLevel="0" max="3" min="3" style="19" width="80"/>
  </cols>
  <sheetData>
    <row r="1" customFormat="false" ht="17.25" hidden="false" customHeight="true" outlineLevel="0" collapsed="false">
      <c r="A1" s="27" t="s">
        <v>345</v>
      </c>
    </row>
    <row r="2" customFormat="false" ht="15" hidden="false" customHeight="true" outlineLevel="0" collapsed="false">
      <c r="A2" s="55" t="s">
        <v>346</v>
      </c>
      <c r="B2" s="55" t="s">
        <v>241</v>
      </c>
      <c r="C2" s="55" t="s">
        <v>347</v>
      </c>
    </row>
    <row r="3" customFormat="false" ht="27.75" hidden="false" customHeight="true" outlineLevel="0" collapsed="false">
      <c r="A3" s="19" t="s">
        <v>348</v>
      </c>
      <c r="B3" s="56" t="n">
        <v>9.5</v>
      </c>
      <c r="C3" s="57" t="s">
        <v>349</v>
      </c>
    </row>
    <row r="4" customFormat="false" ht="27.75" hidden="false" customHeight="true" outlineLevel="0" collapsed="false">
      <c r="A4" s="19" t="s">
        <v>350</v>
      </c>
      <c r="B4" s="56" t="n">
        <v>30</v>
      </c>
      <c r="C4" s="57" t="s">
        <v>351</v>
      </c>
    </row>
    <row r="5" customFormat="false" ht="27.75" hidden="false" customHeight="true" outlineLevel="0" collapsed="false">
      <c r="A5" s="19" t="s">
        <v>352</v>
      </c>
      <c r="B5" s="56" t="n">
        <v>3.5</v>
      </c>
      <c r="C5" s="57" t="s">
        <v>353</v>
      </c>
    </row>
    <row r="6" customFormat="false" ht="27.75" hidden="false" customHeight="true" outlineLevel="0" collapsed="false">
      <c r="A6" s="19" t="s">
        <v>354</v>
      </c>
      <c r="B6" s="56" t="n">
        <v>4.5</v>
      </c>
      <c r="C6" s="57" t="s">
        <v>355</v>
      </c>
    </row>
    <row r="9" customFormat="false" ht="15" hidden="false" customHeight="true" outlineLevel="0" collapsed="false">
      <c r="A9" s="55" t="s">
        <v>284</v>
      </c>
      <c r="B9" s="55" t="s">
        <v>356</v>
      </c>
      <c r="C9" s="55" t="s">
        <v>357</v>
      </c>
    </row>
    <row r="10" customFormat="false" ht="15" hidden="false" customHeight="true" outlineLevel="0" collapsed="false">
      <c r="A10" s="19" t="s">
        <v>70</v>
      </c>
      <c r="B10" s="56" t="n">
        <v>45</v>
      </c>
      <c r="C10" s="30" t="s">
        <v>358</v>
      </c>
    </row>
    <row r="11" customFormat="false" ht="15" hidden="false" customHeight="true" outlineLevel="0" collapsed="false">
      <c r="A11" s="19" t="s">
        <v>67</v>
      </c>
      <c r="B11" s="56" t="n">
        <v>55</v>
      </c>
    </row>
    <row r="12" customFormat="false" ht="15" hidden="false" customHeight="true" outlineLevel="0" collapsed="false">
      <c r="A12" s="19" t="s">
        <v>72</v>
      </c>
      <c r="B12" s="56" t="n">
        <v>65</v>
      </c>
    </row>
    <row r="13" customFormat="false" ht="15" hidden="false" customHeight="true" outlineLevel="0" collapsed="false">
      <c r="A13" s="19" t="s">
        <v>74</v>
      </c>
      <c r="B13" s="56" t="n">
        <v>75</v>
      </c>
    </row>
    <row r="14" customFormat="false" ht="15" hidden="false" customHeight="true" outlineLevel="0" collapsed="false">
      <c r="A14" s="19" t="s">
        <v>84</v>
      </c>
      <c r="B14" s="56" t="n">
        <v>85</v>
      </c>
    </row>
    <row r="15" customFormat="false" ht="15" hidden="false" customHeight="true" outlineLevel="0" collapsed="false">
      <c r="A15" s="19" t="s">
        <v>79</v>
      </c>
      <c r="B15" s="56" t="n">
        <v>95</v>
      </c>
    </row>
    <row r="17" customFormat="false" ht="39.75" hidden="false" customHeight="true" outlineLevel="0" collapsed="false">
      <c r="A17" s="58" t="s">
        <v>359</v>
      </c>
      <c r="B17" s="58"/>
      <c r="C17" s="58"/>
    </row>
  </sheetData>
  <mergeCells count="1"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2026-09-30T19:42:19Z</dcterms:created>
  <dc:creator>openpyxl</dc:creator>
  <dc:description/>
  <dc:language>en-US</dc:language>
  <cp:lastModifiedBy/>
  <dcterms:modified xsi:type="dcterms:W3CDTF">2026-09-30T20:05:03Z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